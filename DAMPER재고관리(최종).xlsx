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9.1" lowestEdited="9.1" rupBuild="0.1868"/>
  <x:bookViews>
    <x:workbookView xWindow="0" yWindow="0" windowWidth="25200" windowHeight="11895" activeTab="7"/>
  </x:bookViews>
  <x:sheets>
    <x:sheet name="2026.9.3" sheetId="1" r:id="rId4"/>
    <x:sheet name="2026.9.4" sheetId="2" r:id="rId5"/>
    <x:sheet name="2026.9.7" sheetId="3" r:id="rId6"/>
    <x:sheet name="2026.9.8" sheetId="4" r:id="rId7"/>
    <x:sheet name="2026.9.9" sheetId="5" r:id="rId8"/>
    <x:sheet name="2026.9.10" sheetId="6" r:id="rId9"/>
    <x:sheet name="2026.9.11" sheetId="7" r:id="rId10"/>
    <x:sheet name="2026.9.14" sheetId="8" r:id="rId11"/>
    <x:sheet name="Sheet1" sheetId="9" r:id="rId12"/>
  </x:sheets>
  <x:definedNames>
    <x:definedName name="_xlnm._FilterDatabase" hidden="1">#REF!</x:definedName>
    <x:definedName name="_xlnm._FilterDatabase" localSheetId="1" hidden="1">'2026.9.4'!$A$17:$J$141</x:definedName>
    <x:definedName name="_xlnm._FilterDatabase" hidden="1">#REF!</x:definedName>
    <x:definedName name="_xlnm._FilterDatabase" hidden="1">#REF!</x:definedName>
    <x:definedName name="_xlnm._FilterDatabase" hidden="1">#REF!</x:definedName>
    <x:definedName name="_xlnm._FilterDatabase" localSheetId="0" hidden="1">'2026.9.3'!$A$17:$J$141</x:definedName>
    <x:definedName name="_xlnm._FilterDatabase" localSheetId="2" hidden="1">'2026.9.7'!$A$22:$M$208</x:definedName>
    <x:definedName name="_xlnm._FilterDatabase" localSheetId="3" hidden="1">'2026.9.8'!$A$26:$M$228</x:definedName>
    <x:definedName name="_xlnm._FilterDatabase" localSheetId="4" hidden="1">'2026.9.9'!$A$28:$L$230</x:definedName>
    <x:definedName name="_xlnm._FilterDatabase" hidden="1">#REF!</x:definedName>
    <x:definedName name="_xlnm._FilterDatabase" localSheetId="6" hidden="1">'2026.9.11'!$A$28:$L$282</x:definedName>
    <x:definedName name="_xlnm._FilterDatabase" localSheetId="5" hidden="1">'2026.9.10'!$A$29:$L$231</x:definedName>
    <x:definedName name="_xlnm._FilterDatabase" hidden="1">#REF!</x:definedName>
    <x:definedName name="_xlnm._FilterDatabase" localSheetId="7" hidden="1">'2026.9.14'!$A$42:$L$296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<x:sst xmlns:r="http://schemas.openxmlformats.org/officeDocument/2006/relationships" xmlns:c="http://schemas.openxmlformats.org/drawingml/2006/chart" xmlns:x="http://schemas.openxmlformats.org/spreadsheetml/2006/main" count="7791" uniqueCount="291">
  <x:si>
    <x:t>DAMPER 모델별 조립계획(2026.10)</x:t>
  </x:si>
  <x:si>
    <x:t>DAMPER 모델별 조립실적(2026.9.8~)</x:t>
  </x:si>
  <x:si>
    <x:t>DAMPER 모델별 조립실적(2026.9.8 ~   )</x:t>
  </x:si>
  <x:si>
    <x:t>SCR DIN 750A(SS)</x:t>
  </x:si>
  <x:si>
    <x:t>SCR DIN 800A(SS)</x:t>
  </x:si>
  <x:si>
    <x:t>SCR DIN 750A(SB)</x:t>
  </x:si>
  <x:si>
    <x:t>SCR N550A/N600A공용</x:t>
  </x:si>
  <x:si>
    <x:t>SCR DIN 700A(SS)</x:t>
  </x:si>
  <x:si>
    <x:t>ICER 700A/800A공용</x:t>
  </x:si>
  <x:si>
    <x:t>SCR DIN 800A(SB)</x:t>
  </x:si>
  <x:si>
    <x:t>Actuator Bracket</x:t>
  </x:si>
  <x:si>
    <x:t>SCR 2200A/2400A공용</x:t>
  </x:si>
  <x:si>
    <x:t>DAMPER 조립 자재 재고현황</x:t>
  </x:si>
  <x:si>
    <x:t>Shaft Rig Holder</x:t>
  </x:si>
  <x:si>
    <x:t>Nord lock washer</x:t>
  </x:si>
  <x:si>
    <x:t>SCR DIN 700A(SB)</x:t>
  </x:si>
  <x:si>
    <x:t>SCR DIN 650A(SS)</x:t>
  </x:si>
  <x:si>
    <x:t>ICER 600A-1000A공용</x:t>
  </x:si>
  <x:si>
    <x:t>SCR DIN 650A(SB)</x:t>
  </x:si>
  <x:si>
    <x:t>ICER 800A/1000A공용</x:t>
  </x:si>
  <x:si>
    <x:t xml:space="preserve">M12×40L </x:t>
  </x:si>
  <x:si>
    <x:t>SCR N600A</x:t>
  </x:si>
  <x:si>
    <x:t>SCR 2200A</x:t>
  </x:si>
  <x:si>
    <x:t>SCR N400A</x:t>
  </x:si>
  <x:si>
    <x:t>ICR 800A</x:t>
  </x:si>
  <x:si>
    <x:t>12×8×58L</x:t>
  </x:si>
  <x:si>
    <x:t>60×45×7.5L</x:t>
  </x:si>
  <x:si>
    <x:t>SCR 400A</x:t>
  </x:si>
  <x:si>
    <x:t xml:space="preserve">M14×45L </x:t>
  </x:si>
  <x:si>
    <x:t>End Cover</x:t>
  </x:si>
  <x:si>
    <x:t>M12×100L</x:t>
  </x:si>
  <x:si>
    <x:t>SCR 700A</x:t>
  </x:si>
  <x:si>
    <x:t>10×8×35L</x:t>
  </x:si>
  <x:si>
    <x:t>SCR N550A</x:t>
  </x:si>
  <x:si>
    <x:t>JB Bracket</x:t>
  </x:si>
  <x:si>
    <x:t xml:space="preserve">M10×35L </x:t>
  </x:si>
  <x:si>
    <x:t>SCR 450A</x:t>
  </x:si>
  <x:si>
    <x:t>130×85×330</x:t>
  </x:si>
  <x:si>
    <x:t>Space Ring</x:t>
  </x:si>
  <x:si>
    <x:t>14×9×60L</x:t>
  </x:si>
  <x:si>
    <x:t>250×150×8T</x:t>
  </x:si>
  <x:si>
    <x:t>ICER 700A</x:t>
  </x:si>
  <x:si>
    <x:t xml:space="preserve">M16×45L </x:t>
  </x:si>
  <x:si>
    <x:t>SCR 600A</x:t>
  </x:si>
  <x:si>
    <x:t>SCR N500A</x:t>
  </x:si>
  <x:si>
    <x:t>50×41×25L</x:t>
  </x:si>
  <x:si>
    <x:t xml:space="preserve">M16×35L </x:t>
  </x:si>
  <x:si>
    <x:t>ICER 800A</x:t>
  </x:si>
  <x:si>
    <x:t>60×45×7.5</x:t>
  </x:si>
  <x:si>
    <x:t>M12×110L</x:t>
  </x:si>
  <x:si>
    <x:t>55×45×5L</x:t>
  </x:si>
  <x:si>
    <x:t>SCR N450A</x:t>
  </x:si>
  <x:si>
    <x:t>60×50×59L</x:t>
  </x:si>
  <x:si>
    <x:t>Stud Bolt</x:t>
  </x:si>
  <x:si>
    <x:t xml:space="preserve">M10×45L </x:t>
  </x:si>
  <x:si>
    <x:t>SCR 500A</x:t>
  </x:si>
  <x:si>
    <x:t>80×66×3.5T</x:t>
  </x:si>
  <x:si>
    <x:t>Trust plate</x:t>
  </x:si>
  <x:si>
    <x:t xml:space="preserve">M12×45L </x:t>
  </x:si>
  <x:si>
    <x:t>80×64.7×3T</x:t>
  </x:si>
  <x:si>
    <x:t>10×8×45L</x:t>
  </x:si>
  <x:si>
    <x:t>50×40×5L</x:t>
  </x:si>
  <x:si>
    <x:t>GRAPHITE</x:t>
  </x:si>
  <x:si>
    <x:t>60×45×50L</x:t>
  </x:si>
  <x:si>
    <x:t>50×40×50L</x:t>
  </x:si>
  <x:si>
    <x:t>12×8×55L</x:t>
  </x:si>
  <x:si>
    <x:t>60×46×35L</x:t>
  </x:si>
  <x:si>
    <x:t>Dust Seal</x:t>
  </x:si>
  <x:si>
    <x:t>69.8×55×3T</x:t>
  </x:si>
  <x:si>
    <x:t>45×35×5L</x:t>
  </x:si>
  <x:si>
    <x:t>SCR 800A</x:t>
  </x:si>
  <x:si>
    <x:t>M16×120L</x:t>
  </x:si>
  <x:si>
    <x:t>70×50×10T</x:t>
  </x:si>
  <x:si>
    <x:t>ICER 1000A</x:t>
  </x:si>
  <x:si>
    <x:t>60×50×5L</x:t>
  </x:si>
  <x:si>
    <x:t>SCR 750A</x:t>
  </x:si>
  <x:si>
    <x:t>SCR 550A</x:t>
  </x:si>
  <x:si>
    <x:t xml:space="preserve">M12×50L </x:t>
  </x:si>
  <x:si>
    <x:t>45×30×7.5T</x:t>
  </x:si>
  <x:si>
    <x:t>M16×130L</x:t>
  </x:si>
  <x:si>
    <x:t>SCR 650A</x:t>
  </x:si>
  <x:si>
    <x:t>Shaft Rig</x:t>
  </x:si>
  <x:si>
    <x:t>55×40×7.5</x:t>
  </x:si>
  <x:si>
    <x:t>ICER 600A</x:t>
  </x:si>
  <x:si>
    <x:t>SCR 5K 600A</x:t>
  </x:si>
  <x:si>
    <x:t>45×36×17L</x:t>
  </x:si>
  <x:si>
    <x:t>270×170×8T</x:t>
  </x:si>
  <x:si>
    <x:t>120×100×35</x:t>
  </x:si>
  <x:si>
    <x:t>60×50×75L</x:t>
  </x:si>
  <x:si>
    <x:t>240×150×8T</x:t>
  </x:si>
  <x:si>
    <x:t>14×9×50L</x:t>
  </x:si>
  <x:si>
    <x:t>350×350×25T</x:t>
  </x:si>
  <x:si>
    <x:t>65×51×45L</x:t>
  </x:si>
  <x:si>
    <x:t>110×90×10T</x:t>
  </x:si>
  <x:si>
    <x:t>SCR N450</x:t>
  </x:si>
  <x:si>
    <x:t>45×30×37L</x:t>
  </x:si>
  <x:si>
    <x:t>SCR 2400A</x:t>
  </x:si>
  <x:si>
    <x:t>65×50×7.5</x:t>
  </x:si>
  <x:si>
    <x:t>70×50×37L</x:t>
  </x:si>
  <x:si>
    <x:t>110×90×20L</x:t>
  </x:si>
  <x:si>
    <x:t>284×190×8T</x:t>
  </x:si>
  <x:si>
    <x:t>SCR 5K 650A</x:t>
  </x:si>
  <x:si>
    <x:t>120×100×10T</x:t>
  </x:si>
  <x:si>
    <x:t>25×14×80L</x:t>
  </x:si>
  <x:si>
    <x:t>120×100×20L</x:t>
  </x:si>
  <x:si>
    <x:t>270×170×10T</x:t>
  </x:si>
  <x:si>
    <x:t>110×90×35</x:t>
  </x:si>
  <x:si>
    <x:t>74.8×60×3T</x:t>
  </x:si>
  <x:si>
    <x:t>40×30×50L</x:t>
  </x:si>
  <x:si>
    <x:t>540×415×20T</x:t>
  </x:si>
  <x:si>
    <x:t>14×9×55L</x:t>
  </x:si>
  <x:si>
    <x:t>345×276×8T</x:t>
  </x:si>
  <x:si>
    <x:t>INCONEL625</x:t>
  </x:si>
  <x:si>
    <x:t>290×210×8T</x:t>
  </x:si>
  <x:si>
    <x:t>분실/파손/불용</x:t>
  </x:si>
  <x:si>
    <x:t>550×466×12T</x:t>
  </x:si>
  <x:si>
    <x:t>370×370×25T</x:t>
  </x:si>
  <x:si>
    <x:t>60×50×5T</x:t>
  </x:si>
  <x:si>
    <x:t>130×90×330</x:t>
  </x:si>
  <x:si>
    <x:t>SS400/SB480</x:t>
  </x:si>
  <x:si>
    <x:t>45×35×20L</x:t>
  </x:si>
  <x:si>
    <x:t>40×30×5T</x:t>
  </x:si>
  <x:si>
    <x:t>150×28×16T</x:t>
  </x:si>
  <x:si>
    <x:t>자재규격</x:t>
  </x:si>
  <x:si>
    <x:t>SCR750A</x:t>
  </x:si>
  <x:si>
    <x:t>40×4L</x:t>
  </x:si>
  <x:si>
    <x:t>120×18T</x:t>
  </x:si>
  <x:si>
    <x:t>전일재고</x:t>
  </x:si>
  <x:si>
    <x:t>분실/파손</x:t>
  </x:si>
  <x:si>
    <x:t>50×5L</x:t>
  </x:si>
  <x:si>
    <x:t>SCR-LP</x:t>
  </x:si>
  <x:si>
    <x:t>125×18T</x:t>
  </x:si>
  <x:si>
    <x:t>45×5L</x:t>
  </x:si>
  <x:si>
    <x:t>130×18T</x:t>
  </x:si>
  <x:si>
    <x:t>M6 S/W</x:t>
  </x:si>
  <x:si>
    <x:t>M8 S/W</x:t>
  </x:si>
  <x:si>
    <x:t>130×25T</x:t>
  </x:si>
  <x:si>
    <x:t>SUS316</x:t>
  </x:si>
  <x:si>
    <x:t>UCF208</x:t>
  </x:si>
  <x:si>
    <x:t>M16×45L</x:t>
  </x:si>
  <x:si>
    <x:t>A4-80</x:t>
  </x:si>
  <x:si>
    <x:t>UCF207</x:t>
  </x:si>
  <x:si>
    <x:t>금일조립수량</x:t>
  </x:si>
  <x:si>
    <x:t>SUS304</x:t>
  </x:si>
  <x:si>
    <x:t>Gasket</x:t>
  </x:si>
  <x:si>
    <x:t>45×2T</x:t>
  </x:si>
  <x:si>
    <x:t>25×2T</x:t>
  </x:si>
  <x:si>
    <x:t>생조립가능대수</x:t>
  </x:si>
  <x:si>
    <x:t>140×15T</x:t>
  </x:si>
  <x:si>
    <x:t>Shaft</x:t>
  </x:si>
  <x:si>
    <x:t>80×10T</x:t>
  </x:si>
  <x:si>
    <x:t>투입수량</x:t>
  </x:si>
  <x:si>
    <x:t>UCF206</x:t>
  </x:si>
  <x:si>
    <x:t>M14 N/W</x:t>
  </x:si>
  <x:si>
    <x:t>현재재고</x:t>
  </x:si>
  <x:si>
    <x:t>입고수량</x:t>
  </x:si>
  <x:si>
    <x:t>EY306</x:t>
  </x:si>
  <x:si>
    <x:t>ICER</x:t>
  </x:si>
  <x:si>
    <x:t>M10 S/W</x:t>
  </x:si>
  <x:si>
    <x:t>M8×70L</x:t>
  </x:si>
  <x:si>
    <x:t>C2604</x:t>
  </x:si>
  <x:si>
    <x:t>SUJ2</x:t>
  </x:si>
  <x:si>
    <x:t>BOTTOM</x:t>
  </x:si>
  <x:si>
    <x:t>BOLT</x:t>
  </x:si>
  <x:si>
    <x:t>23×2T</x:t>
  </x:si>
  <x:si>
    <x:t>S45c</x:t>
  </x:si>
  <x:si>
    <x:t>M16 N/W</x:t>
  </x:si>
  <x:si>
    <x:t>M16×30L</x:t>
  </x:si>
  <x:si>
    <x:t>M16×35L</x:t>
  </x:si>
  <x:si>
    <x:t>M12너트</x:t>
  </x:si>
  <x:si>
    <x:t>M12 N/W</x:t>
  </x:si>
  <x:si>
    <x:t>적용제품</x:t>
  </x:si>
  <x:si>
    <x:t>CAC406</x:t>
  </x:si>
  <x:si>
    <x:t>M12 S/W</x:t>
  </x:si>
  <x:si>
    <x:t>M20 S/W</x:t>
  </x:si>
  <x:si>
    <x:t>M6×65L</x:t>
  </x:si>
  <x:si>
    <x:t>DAMPER</x:t>
  </x:si>
  <x:si>
    <x:t>C3604</x:t>
  </x:si>
  <x:si>
    <x:t>M8너트</x:t>
  </x:si>
  <x:si>
    <x:t>UCF117</x:t>
  </x:si>
  <x:si>
    <x:t>Adapter</x:t>
  </x:si>
  <x:si>
    <x:t>SS400</x:t>
  </x:si>
  <x:si>
    <x:t>45×7T</x:t>
  </x:si>
  <x:si>
    <x:t>안전재고알람</x:t>
  </x:si>
  <x:si>
    <x:t>M14 S/W</x:t>
  </x:si>
  <x:si>
    <x:t>100×15T</x:t>
  </x:si>
  <x:si>
    <x:t>79.5×2T</x:t>
  </x:si>
  <x:si>
    <x:t>M16너트</x:t>
  </x:si>
  <x:si>
    <x:t>M14너트</x:t>
  </x:si>
  <x:si>
    <x:t>S45C</x:t>
  </x:si>
  <x:si>
    <x:t>C Type</x:t>
  </x:si>
  <x:si>
    <x:t>60×12</x:t>
  </x:si>
  <x:si>
    <x:t>M10×75L</x:t>
  </x:si>
  <x:si>
    <x:t>65×7T</x:t>
  </x:si>
  <x:si>
    <x:t>20×2T</x:t>
  </x:si>
  <x:si>
    <x:t>135×15T</x:t>
  </x:si>
  <x:si>
    <x:t>125×15T</x:t>
  </x:si>
  <x:si>
    <x:t>M20너트</x:t>
  </x:si>
  <x:si>
    <x:t>적용모델</x:t>
  </x:si>
  <x:si>
    <x:t>59.5×2T</x:t>
  </x:si>
  <x:si>
    <x:t>수량/1대</x:t>
  </x:si>
  <x:si>
    <x:t>75×10T</x:t>
  </x:si>
  <x:si>
    <x:t>UCF118</x:t>
  </x:si>
  <x:si>
    <x:t>M12×95L</x:t>
  </x:si>
  <x:si>
    <x:t>조립가능대수</x:t>
  </x:si>
  <x:si>
    <x:t>M6너트</x:t>
  </x:si>
  <x:si>
    <x:t>170×20T</x:t>
  </x:si>
  <x:si>
    <x:t>B Type</x:t>
  </x:si>
  <x:si>
    <x:t>M12×40L</x:t>
  </x:si>
  <x:si>
    <x:t>M20×60L</x:t>
  </x:si>
  <x:si>
    <x:t>M10×50L</x:t>
  </x:si>
  <x:si>
    <x:t>투입계획</x:t>
  </x:si>
  <x:si>
    <x:t>105×20</x:t>
  </x:si>
  <x:si>
    <x:t>M10×35L</x:t>
  </x:si>
  <x:si>
    <x:t>55×11</x:t>
  </x:si>
  <x:si>
    <x:t>160×20T</x:t>
  </x:si>
  <x:si>
    <x:t>SB480</x:t>
  </x:si>
  <x:si>
    <x:t>M20×75L</x:t>
  </x:si>
  <x:si>
    <x:t>65×12</x:t>
  </x:si>
  <x:si>
    <x:t>SUS308</x:t>
  </x:si>
  <x:si>
    <x:t>10월계획</x:t>
  </x:si>
  <x:si>
    <x:t>Disc</x:t>
  </x:si>
  <x:si>
    <x:t>M10너트</x:t>
  </x:si>
  <x:si>
    <x:t>Body</x:t>
  </x:si>
  <x:si>
    <x:t>M10×45L</x:t>
  </x:si>
  <x:si>
    <x:t>110×20</x:t>
  </x:si>
  <x:si>
    <x:t>M12×35L</x:t>
  </x:si>
  <x:si>
    <x:t>110×15T</x:t>
  </x:si>
  <x:si>
    <x:t>M20×85L</x:t>
  </x:si>
  <x:si>
    <x:t>SUS410</x:t>
  </x:si>
  <x:si>
    <x:t>SCR 500A-600A공용</x:t>
  </x:si>
  <x:si>
    <x:t>Spring washer</x:t>
  </x:si>
  <x:si>
    <x:t>59.95×50.4×77L</x:t>
  </x:si>
  <x:si>
    <x:t>SCR 400A-800A</x:t>
  </x:si>
  <x:si>
    <x:t>SCR 500A-600A</x:t>
  </x:si>
  <x:si>
    <x:t>250×150×8T(M10)</x:t>
  </x:si>
  <x:si>
    <x:t>49.95×40.4×77L</x:t>
  </x:si>
  <x:si>
    <x:t>DAMPER 모델별 조립수량</x:t>
  </x:si>
  <x:si>
    <x:t>250×150×8T(M12)</x:t>
  </x:si>
  <x:si>
    <x:t>SCR 650A-750A</x:t>
  </x:si>
  <x:si>
    <x:t>Bearing plate</x:t>
  </x:si>
  <x:si>
    <x:t>SCR 400A-750A</x:t>
  </x:si>
  <x:si>
    <x:t>Key(Adapter)</x:t>
  </x:si>
  <x:si>
    <x:t>Packing Ring</x:t>
  </x:si>
  <x:si>
    <x:t>SCR 5K 400A(세)</x:t>
  </x:si>
  <x:si>
    <x:t>SCR 400A-800A공용</x:t>
  </x:si>
  <x:si>
    <x:t>SCR 400A/450A공용</x:t>
  </x:si>
  <x:si>
    <x:t>SCR 5K 600A(세)</x:t>
  </x:si>
  <x:si>
    <x:t>SCR 650A-800A</x:t>
  </x:si>
  <x:si>
    <x:t>SCR 650A-750A공용</x:t>
  </x:si>
  <x:si>
    <x:t>SCR 400A-600A</x:t>
  </x:si>
  <x:si>
    <x:t>SCR N600A(SS)</x:t>
  </x:si>
  <x:si>
    <x:t>SCR 650A(SS)</x:t>
  </x:si>
  <x:si>
    <x:t>Gland Flange</x:t>
  </x:si>
  <x:si>
    <x:t>SCR 800A(SS)</x:t>
  </x:si>
  <x:si>
    <x:t>SCR 5K N500A</x:t>
  </x:si>
  <x:si>
    <x:t>Unit Bearing</x:t>
  </x:si>
  <x:si>
    <x:t>SCR 700A(SB)</x:t>
  </x:si>
  <x:si>
    <x:t>54.95×45.4×70L</x:t>
  </x:si>
  <x:si>
    <x:t>SCR 600A(SB)</x:t>
  </x:si>
  <x:si>
    <x:t>Bearing Seat</x:t>
  </x:si>
  <x:si>
    <x:t>SCR 5K N550A</x:t>
  </x:si>
  <x:si>
    <x:t>SCR 400A-600A공용</x:t>
  </x:si>
  <x:si>
    <x:t>ICER 600A-1000A</x:t>
  </x:si>
  <x:si>
    <x:t>SCR 750A(SS)</x:t>
  </x:si>
  <x:si>
    <x:t>SCR 5K N600A</x:t>
  </x:si>
  <x:si>
    <x:t>SCR 600A(SS)</x:t>
  </x:si>
  <x:si>
    <x:t>SCR 700A(SS)</x:t>
  </x:si>
  <x:si>
    <x:t>SCR 400A-750A공용</x:t>
  </x:si>
  <x:si>
    <x:t>SCR 750A(SB)</x:t>
  </x:si>
  <x:si>
    <x:t>SCR N600A(SB)</x:t>
  </x:si>
  <x:si>
    <x:t>SCR 800A(SB)</x:t>
  </x:si>
  <x:si>
    <x:t>SCR 650A(SB)</x:t>
  </x:si>
  <x:si>
    <x:t>SCR 650A-800A공용</x:t>
  </x:si>
  <x:si>
    <x:t>Packing Bush</x:t>
  </x:si>
  <x:si>
    <x:t>ICER 800A/ICER 1000A공용</x:t>
  </x:si>
  <x:si>
    <x:t>SCR 5K 400A-600A(세)공용</x:t>
  </x:si>
  <x:si>
    <x:t>SCR 800A/ICER 1000A공용</x:t>
  </x:si>
  <x:si>
    <x:t>JIS</x:t>
  </x:si>
  <x:si>
    <x:t>자재명</x:t>
  </x:si>
  <x:si>
    <x:t>DIN</x:t>
  </x:si>
  <x:si>
    <x:t>Key</x:t>
  </x:si>
  <x:si>
    <x:t>과부족</x:t>
  </x:si>
  <x:si>
    <x:t>누계</x:t>
  </x:si>
  <x:si>
    <x:t/>
  </x:si>
  <x:si>
    <x:t>수량</x:t>
  </x:si>
  <x:si>
    <x:t>알람</x:t>
  </x:si>
  <x:si>
    <x:t>재질</x:t>
  </x:si>
  <x:si>
    <x:t>제품명</x:t>
  </x:si>
  <x:si>
    <x:t>TOP</x:t>
  </x:si>
  <x:si>
    <x:t>NUT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</x:si>
</x:sst>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"/>
  </x:numFmts>
  <x:fonts count="23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맑은 고딕"/>
      <x:sz val="11"/>
      <x:color rgb="ff000000"/>
      <x:b val="1"/>
    </x:font>
    <x:font>
      <x:name val="맑은 고딕"/>
      <x:sz val="12"/>
      <x:color rgb="ff000000"/>
    </x:font>
    <x:font>
      <x:name val="맑은 고딕"/>
      <x:sz val="12"/>
      <x:color rgb="ff000000"/>
      <x:b val="1"/>
    </x:font>
    <x:font>
      <x:name val="맑은 고딕"/>
      <x:sz val="12"/>
      <x:color rgb="ffff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315f97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315f97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한컴 윤체 B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한컴 윤체 B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i val="1"/>
          <x:u/>
          <hs:underlineShape val="solid"/>
          <hs:underlineType val="1"/>
          <hs:underline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i val="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x:i val="1"/>
          <x:strike val="1"/>
          <hs:strikeoutShape val="solid"/>
          <hs:strikeoutType val="1"/>
          <hs:strikeout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  <x:i val="1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x:b val="1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  <x:b val="1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4"/>
          <x:color rgb="ff000000"/>
          <x:b val="1"/>
          <x:i val="1"/>
          <x:u/>
          <hs:underlineShape val="solid"/>
          <hs:underlineType val="1"/>
          <hs:underline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24"/>
          <x:color rgb="ff000000"/>
          <x:b val="1"/>
          <x:i val="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i val="1"/>
          <x:u/>
          <hs:underlineShape val="solid"/>
          <hs:underlineType val="1"/>
          <hs:underline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i val="1"/>
          <x:u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2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medium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 style="thin"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ck">
        <x:color indexed="64"/>
      </x:left>
      <x:right style="thick">
        <x:color indexed="64"/>
      </x:right>
      <x:top style="thick">
        <x:color indexed="64"/>
      </x:top>
      <x:bottom style="thick">
        <x:color indexed="64"/>
      </x:bottom>
    </x:border>
    <x:border>
      <x:left style="thin">
        <x:color indexed="64"/>
      </x:left>
      <x:right>
        <x:color indexed="64"/>
      </x:right>
      <x:top style="medium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thin"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76"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1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1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0" applyNumberForma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NumberForma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0" borderId="0" xfId="0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0" borderId="0" xfId="0" applyNumberFormat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1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0" xfId="0" applyNumberFormat="1" applyFont="1" applyAlignment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x:xf numFmtId="0" fontId="12" fillId="0" borderId="0" xfId="0" applyNumberFormat="1" applyFont="1" applyFill="1" applyBorder="1" applyAlignment="1" applyProtection="1">
      <x:alignment horizontal="general" vertical="center"/>
    </x:xf>
    <x:xf numFmtId="0" fontId="0" fillId="0" borderId="0" xfId="0" applyNumberForma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0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0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7" fillId="0" borderId="0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7" fillId="0" borderId="0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0" xfId="0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0" xfId="0" applyNumberFormat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0" xfId="0" applyNumberForma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0" xfId="0" applyNumberFormat="1" applyAlignment="1">
          <x:alignment horizontal="right" vertical="center"/>
        </x:xf>
      </mc:Fallback>
    </mc:AlternateContent>
    <x:xf numFmtId="0" fontId="17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" xfId="0" applyNumberFormat="1" applyFont="1" applyFill="1" applyBorder="1" applyAlignment="1" applyProtection="1">
          <x:alignment horizontal="center" vertical="center"/>
        </x:xf>
      </mc:Fallback>
    </mc:AlternateContent>
    <x:xf numFmtId="0" fontId="12" fillId="0" borderId="1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2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2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7" fillId="0" borderId="0" xfId="0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7" fillId="0" borderId="0" xfId="0" applyNumberFormat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1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2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2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ae3f3"/>
              <x:bgColor rgb="ffdae3f3"/>
            </x:patternFill>
          </x:fill>
          <x:border>
            <x:bottom style="thin">
              <x:color rgb="ff8fabdb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ae3f3"/>
              <x:bgColor rgb="ffdae3f3"/>
            </x:patternFill>
          </x:fill>
          <x:border>
            <x:bottom style="thin">
              <x:color rgb="ff8fabdb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ae3f3"/>
              <x:bgColor rgb="ffdae3f3"/>
            </x:patternFill>
          </x:fill>
          <x:border>
            <x:top style="thin">
              <x:color rgb="ff8fabdb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ae3f3"/>
              <x:bgColor rgb="ffdae3f3"/>
            </x:patternFill>
          </x:fill>
          <x:border>
            <x:top style="thin">
              <x:color rgb="ff8fabdb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472c4"/>
            </x:top>
            <x:bottom style="thin">
              <x:color rgb="ff4472c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472c4"/>
            </x:top>
            <x:bottom style="thin">
              <x:color rgb="ff4472c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fabdb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fabdb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ae3f3"/>
          <x:bgColor rgb="ffdae3f3"/>
        </x:patternFill>
      </x:fill>
      <x:border>
        <x:bottom style="thin">
          <x:color rgb="ff8fabdb"/>
        </x:bottom>
      </x:border>
    </x:dxf>
    <x:dxf>
      <x:fill>
        <x:patternFill patternType="solid">
          <x:fgColor rgb="ffdae3f3"/>
          <x:bgColor rgb="ffdae3f3"/>
        </x:patternFill>
      </x:fill>
      <x:border>
        <x:bottom style="thin">
          <x:color rgb="ff8fabdb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fabdb"/>
            </x:left>
            <x:right style="thin">
              <x:color rgb="ff8fabdb"/>
            </x:right>
            <x:top style="thin">
              <x:color rgb="ff8fabdb"/>
            </x:top>
            <x:bottom style="thin">
              <x:color rgb="ff8fabdb"/>
            </x:bottom>
            <x:horizontal style="thin">
              <x:color rgb="ff8fabdb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fabdb"/>
            </x:left>
            <x:right style="thin">
              <x:color rgb="ff8fabdb"/>
            </x:right>
            <x:top style="thin">
              <x:color rgb="ff8fabdb"/>
            </x:top>
            <x:bottom style="thin">
              <x:color rgb="ff8fabdb"/>
            </x:bottom>
            <x:horizontal style="thin">
              <x:color rgb="ff8fabdb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472c4"/>
              <x:bgColor rgb="ff4472c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472c4"/>
              <x:bgColor rgb="ff4472c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472c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472c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ae3f3"/>
          <x:bgColor rgb="ffdae3f3"/>
        </x:patternFill>
      </x:fill>
    </x:dxf>
    <x:dxf>
      <x:fill>
        <x:patternFill patternType="solid">
          <x:fgColor rgb="ffdae3f3"/>
          <x:bgColor rgb="ffdae3f3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L141"/>
  <x:sheetViews>
    <x:sheetView topLeftCell="A7" zoomScaleNormal="100" workbookViewId="0">
      <x:selection activeCell="J32" activeCellId="0" sqref="J32:J36"/>
    </x:sheetView>
  </x:sheetViews>
  <x:sheetFormatPr defaultColWidth="9.00390625" defaultRowHeight="17.800000000000001"/>
  <x:cols>
    <x:col min="1" max="1" width="19" style="10" customWidth="1"/>
    <x:col min="2" max="2" width="12.375" style="1" customWidth="1"/>
    <x:col min="3" max="3" width="8.75" style="1" customWidth="1"/>
    <x:col min="4" max="4" width="25.625" style="2" customWidth="1"/>
    <x:col min="5" max="5" width="18.5" style="1" customWidth="1"/>
    <x:col min="6" max="6" width="10.125" style="1" customWidth="1"/>
    <x:col min="7" max="7" width="11.875" style="1" customWidth="1"/>
    <x:col min="8" max="8" width="12.52734375" style="1" bestFit="1" customWidth="1"/>
    <x:col min="9" max="9" width="13.25" style="1" customWidth="1"/>
    <x:col min="10" max="10" width="12.52734375" bestFit="1" customWidth="1"/>
    <x:col min="11" max="11" width="14.375" style="1" customWidth="1"/>
    <x:col min="13" max="13" width="10.625" customWidth="1"/>
  </x:cols>
  <x:sheetData>
    <x:row r="1" spans="1:11" customFormat="1">
      <x:c r="A1" s="10"/>
      <x:c r="B1" s="1"/>
      <x:c r="C1" s="1"/>
      <x:c r="D1" s="2"/>
      <x:c r="E1" s="1"/>
      <x:c r="F1" s="1"/>
      <x:c r="G1" s="16" t="s">
        <x:v>130</x:v>
      </x:c>
      <x:c r="H1" s="16" t="s">
        <x:v>142</x:v>
      </x:c>
      <x:c r="I1" s="16" t="s">
        <x:v>157</x:v>
      </x:c>
      <x:c r="J1" s="16" t="s">
        <x:v>142</x:v>
      </x:c>
      <x:c r="K1" s="1"/>
    </x:row>
    <x:row r="2" spans="1:11" customFormat="1">
      <x:c r="A2" s="10"/>
      <x:c r="B2" s="1"/>
      <x:c r="C2" s="1"/>
      <x:c r="D2" s="2"/>
      <x:c r="E2" s="1"/>
      <x:c r="F2" s="1"/>
      <x:c r="G2" s="16" t="s">
        <x:v>23</x:v>
      </x:c>
      <x:c r="H2" s="16"/>
      <x:c r="I2" s="16"/>
      <x:c r="J2" s="16"/>
      <x:c r="K2" s="1"/>
    </x:row>
    <x:row r="3" spans="1:11" customFormat="1">
      <x:c r="A3" s="10"/>
      <x:c r="B3" s="1"/>
      <x:c r="C3" s="1"/>
      <x:c r="D3" s="2"/>
      <x:c r="E3" s="1"/>
      <x:c r="F3" s="1"/>
      <x:c r="G3" s="16" t="s">
        <x:v>94</x:v>
      </x:c>
      <x:c r="H3" s="16"/>
      <x:c r="I3" s="16"/>
      <x:c r="J3" s="16"/>
      <x:c r="K3" s="1"/>
    </x:row>
    <x:row r="4" spans="1:11" customFormat="1">
      <x:c r="A4" s="10"/>
      <x:c r="B4" s="1"/>
      <x:c r="C4" s="1"/>
      <x:c r="D4" s="2"/>
      <x:c r="E4" s="1"/>
      <x:c r="F4" s="1"/>
      <x:c r="G4" s="16" t="s">
        <x:v>27</x:v>
      </x:c>
      <x:c r="H4" s="16"/>
      <x:c r="I4" s="16" t="s">
        <x:v>83</x:v>
      </x:c>
      <x:c r="J4" s="16"/>
      <x:c r="K4" s="1"/>
    </x:row>
    <x:row r="5" spans="1:11" customFormat="1">
      <x:c r="A5" s="10"/>
      <x:c r="B5" s="1"/>
      <x:c r="C5" s="1"/>
      <x:c r="D5" s="2"/>
      <x:c r="E5" s="1"/>
      <x:c r="F5" s="1"/>
      <x:c r="G5" s="16" t="s">
        <x:v>36</x:v>
      </x:c>
      <x:c r="H5" s="16"/>
      <x:c r="I5" s="16" t="s">
        <x:v>41</x:v>
      </x:c>
      <x:c r="J5" s="16"/>
      <x:c r="K5" s="1"/>
    </x:row>
    <x:row r="6" spans="1:11" customFormat="1">
      <x:c r="A6" s="10"/>
      <x:c r="B6" s="1"/>
      <x:c r="C6" s="1"/>
      <x:c r="D6" s="2"/>
      <x:c r="E6" s="1"/>
      <x:c r="F6" s="1"/>
      <x:c r="G6" s="16" t="s">
        <x:v>55</x:v>
      </x:c>
      <x:c r="H6" s="16"/>
      <x:c r="I6" s="16" t="s">
        <x:v>47</x:v>
      </x:c>
      <x:c r="J6" s="16"/>
      <x:c r="K6" s="1"/>
    </x:row>
    <x:row r="7" spans="1:11" customFormat="1">
      <x:c r="A7" s="10"/>
      <x:c r="B7" s="1"/>
      <x:c r="C7" s="1"/>
      <x:c r="D7" s="2"/>
      <x:c r="E7" s="1"/>
      <x:c r="F7" s="1"/>
      <x:c r="G7" s="16" t="s">
        <x:v>44</x:v>
      </x:c>
      <x:c r="H7" s="16"/>
      <x:c r="I7" s="16" t="s">
        <x:v>73</x:v>
      </x:c>
      <x:c r="J7" s="16"/>
      <x:c r="K7" s="1"/>
    </x:row>
    <x:row r="8" spans="1:11" customFormat="1" ht="16.399999999999999">
      <x:c r="A8" s="66" t="s">
        <x:v>12</x:v>
      </x:c>
      <x:c r="B8" s="66"/>
      <x:c r="C8" s="66"/>
      <x:c r="D8" s="66"/>
      <x:c r="E8" s="66"/>
      <x:c r="F8" s="1"/>
      <x:c r="G8" s="16" t="s">
        <x:v>76</x:v>
      </x:c>
      <x:c r="H8" s="16"/>
      <x:c r="I8" s="16"/>
      <x:c r="J8" s="16"/>
      <x:c r="K8" s="1"/>
    </x:row>
    <x:row r="9" spans="1:11" customFormat="1" ht="16.399999999999999">
      <x:c r="A9" s="66"/>
      <x:c r="B9" s="66"/>
      <x:c r="C9" s="66"/>
      <x:c r="D9" s="66"/>
      <x:c r="E9" s="66"/>
      <x:c r="F9" s="1"/>
      <x:c r="G9" s="16" t="s">
        <x:v>33</x:v>
      </x:c>
      <x:c r="H9" s="16"/>
      <x:c r="I9" s="16"/>
      <x:c r="J9" s="16"/>
      <x:c r="K9" s="1"/>
    </x:row>
    <x:row r="10" spans="1:11" customFormat="1" ht="16.399999999999999">
      <x:c r="A10" s="66"/>
      <x:c r="B10" s="66"/>
      <x:c r="C10" s="66"/>
      <x:c r="D10" s="66"/>
      <x:c r="E10" s="66"/>
      <x:c r="F10" s="1"/>
      <x:c r="G10" s="16" t="s">
        <x:v>43</x:v>
      </x:c>
      <x:c r="H10" s="16"/>
      <x:c r="I10" s="16"/>
      <x:c r="J10" s="16"/>
      <x:c r="K10" s="1"/>
    </x:row>
    <x:row r="11" spans="1:10" ht="16.399999999999999">
      <x:c r="A11" s="66"/>
      <x:c r="B11" s="66"/>
      <x:c r="C11" s="66"/>
      <x:c r="D11" s="66"/>
      <x:c r="E11" s="66"/>
      <x:c r="G11" s="16" t="s">
        <x:v>21</x:v>
      </x:c>
      <x:c r="H11" s="16"/>
      <x:c r="I11" s="16"/>
      <x:c r="J11" s="16"/>
    </x:row>
    <x:row r="12" spans="1:10" ht="16.399999999999999">
      <x:c r="A12" s="66"/>
      <x:c r="B12" s="66"/>
      <x:c r="C12" s="66"/>
      <x:c r="D12" s="66"/>
      <x:c r="E12" s="66"/>
      <x:c r="G12" s="16" t="s">
        <x:v>80</x:v>
      </x:c>
      <x:c r="H12" s="16"/>
      <x:c r="I12" s="16"/>
      <x:c r="J12" s="16"/>
    </x:row>
    <x:row r="13" spans="7:10">
      <x:c r="G13" s="16" t="s">
        <x:v>31</x:v>
      </x:c>
      <x:c r="H13" s="16"/>
      <x:c r="I13" s="16"/>
      <x:c r="J13" s="16"/>
    </x:row>
    <x:row r="14" spans="7:10">
      <x:c r="G14" s="16" t="s">
        <x:v>124</x:v>
      </x:c>
      <x:c r="H14" s="16"/>
      <x:c r="I14" s="16"/>
      <x:c r="J14" s="16"/>
    </x:row>
    <x:row r="15" spans="7:10">
      <x:c r="G15" s="16" t="s">
        <x:v>70</x:v>
      </x:c>
      <x:c r="H15" s="16"/>
      <x:c r="I15" s="16"/>
      <x:c r="J15" s="16"/>
    </x:row>
    <x:row r="17" spans="1:12" s="8" customFormat="1" ht="29.25" customHeight="1">
      <x:c r="A17" s="11" t="s">
        <x:v>279</x:v>
      </x:c>
      <x:c r="B17" s="9" t="s">
        <x:v>287</x:v>
      </x:c>
      <x:c r="C17" s="9" t="s">
        <x:v>200</x:v>
      </x:c>
      <x:c r="D17" s="9" t="s">
        <x:v>171</x:v>
      </x:c>
      <x:c r="E17" s="9" t="s">
        <x:v>123</x:v>
      </x:c>
      <x:c r="F17" s="9" t="s">
        <x:v>127</x:v>
      </x:c>
      <x:c r="G17" s="9" t="s">
        <x:v>151</x:v>
      </x:c>
      <x:c r="H17" s="9" t="s">
        <x:v>128</x:v>
      </x:c>
      <x:c r="I17" s="9" t="s">
        <x:v>155</x:v>
      </x:c>
      <x:c r="J17" s="9" t="s">
        <x:v>154</x:v>
      </x:c>
      <x:c r="K17" s="9" t="s">
        <x:v>204</x:v>
      </x:c>
      <x:c r="L17" s="9" t="s">
        <x:v>286</x:v>
      </x:c>
    </x:row>
    <x:row r="18" spans="1:11" ht="18" customHeight="1">
      <x:c r="A18" s="15" t="s">
        <x:v>281</x:v>
      </x:c>
      <x:c r="B18" s="14" t="s">
        <x:v>165</x:v>
      </x:c>
      <x:c r="C18" s="6">
        <x:v>2</x:v>
      </x:c>
      <x:c r="D18" s="14" t="s">
        <x:v>268</x:v>
      </x:c>
      <x:c r="E18" s="1" t="s">
        <x:v>32</x:v>
      </x:c>
      <x:c r="F18" s="7">
        <x:v>310</x:v>
      </x:c>
      <x:c r="G18" s="6">
        <x:f>SUM(H4:H14)*C18</x:f>
        <x:v>0</x:v>
      </x:c>
      <x:c r="H18" s="6"/>
      <x:c r="I18" s="6"/>
      <x:c r="J18" s="12">
        <x:f>F18+I18-G18-H18</x:f>
        <x:v>310</x:v>
      </x:c>
      <x:c r="K18" s="13">
        <x:f>J18/C18</x:f>
        <x:v>155</x:v>
      </x:c>
    </x:row>
    <x:row r="19" spans="1:11" ht="18" customHeight="1">
      <x:c r="A19" s="15" t="s">
        <x:v>281</x:v>
      </x:c>
      <x:c r="B19" s="14" t="s">
        <x:v>165</x:v>
      </x:c>
      <x:c r="C19" s="6">
        <x:v>2</x:v>
      </x:c>
      <x:c r="D19" s="14" t="s">
        <x:v>70</x:v>
      </x:c>
      <x:c r="E19" s="1" t="s">
        <x:v>65</x:v>
      </x:c>
      <x:c r="F19" s="1">
        <x:v>240</x:v>
      </x:c>
      <x:c r="G19" s="6">
        <x:f>H15*C19</x:f>
        <x:v>0</x:v>
      </x:c>
      <x:c r="H19" s="6"/>
      <x:c r="I19" s="6"/>
      <x:c r="J19" s="12">
        <x:f>F19+I19-G19-H19</x:f>
        <x:v>240</x:v>
      </x:c>
      <x:c r="K19" s="13">
        <x:f>J19/C19</x:f>
        <x:v>120</x:v>
      </x:c>
    </x:row>
    <x:row r="20" spans="1:11" customFormat="1" ht="18" customHeight="1">
      <x:c r="A20" s="15" t="s">
        <x:v>281</x:v>
      </x:c>
      <x:c r="B20" s="14" t="s">
        <x:v>143</x:v>
      </x:c>
      <x:c r="C20" s="6">
        <x:v>2</x:v>
      </x:c>
      <x:c r="D20" s="14" t="s">
        <x:v>83</x:v>
      </x:c>
      <x:c r="E20" s="7" t="s">
        <x:v>60</x:v>
      </x:c>
      <x:c r="F20" s="1">
        <x:v>76</x:v>
      </x:c>
      <x:c r="G20" s="6">
        <x:f>J4*C20</x:f>
        <x:v>0</x:v>
      </x:c>
      <x:c r="H20" s="6"/>
      <x:c r="I20" s="6"/>
      <x:c r="J20" s="12">
        <x:f>F20+I20-G20-H20</x:f>
        <x:v>76</x:v>
      </x:c>
      <x:c r="K20" s="13">
        <x:f>J20/C20</x:f>
        <x:v>38</x:v>
      </x:c>
    </x:row>
    <x:row r="21" spans="1:11" customFormat="1" ht="18" customHeight="1">
      <x:c r="A21" s="15" t="s">
        <x:v>281</x:v>
      </x:c>
      <x:c r="B21" s="14" t="s">
        <x:v>143</x:v>
      </x:c>
      <x:c r="C21" s="6">
        <x:v>2</x:v>
      </x:c>
      <x:c r="D21" s="14" t="s">
        <x:v>41</x:v>
      </x:c>
      <x:c r="E21" s="7" t="s">
        <x:v>25</x:v>
      </x:c>
      <x:c r="F21" s="1">
        <x:v>2</x:v>
      </x:c>
      <x:c r="G21" s="6">
        <x:f>J5*C21</x:f>
        <x:v>0</x:v>
      </x:c>
      <x:c r="H21" s="6"/>
      <x:c r="I21" s="6"/>
      <x:c r="J21" s="12">
        <x:f>F21+I21-G21-H21</x:f>
        <x:v>2</x:v>
      </x:c>
      <x:c r="K21" s="13">
        <x:f>J21/C21</x:f>
        <x:v>1</x:v>
      </x:c>
    </x:row>
    <x:row r="22" spans="1:11" customFormat="1" ht="18" customHeight="1">
      <x:c r="A22" s="15" t="s">
        <x:v>281</x:v>
      </x:c>
      <x:c r="B22" s="14" t="s">
        <x:v>143</x:v>
      </x:c>
      <x:c r="C22" s="6">
        <x:v>2</x:v>
      </x:c>
      <x:c r="D22" s="14" t="s">
        <x:v>47</x:v>
      </x:c>
      <x:c r="E22" s="7" t="s">
        <x:v>39</x:v>
      </x:c>
      <x:c r="F22" s="1">
        <x:v>73</x:v>
      </x:c>
      <x:c r="G22" s="6">
        <x:f>J6*C22</x:f>
        <x:v>0</x:v>
      </x:c>
      <x:c r="H22" s="6"/>
      <x:c r="I22" s="6"/>
      <x:c r="J22" s="12">
        <x:f>F22+I22-G22-H22</x:f>
        <x:v>73</x:v>
      </x:c>
      <x:c r="K22" s="13">
        <x:f>J22/C22</x:f>
        <x:v>36.5</x:v>
      </x:c>
    </x:row>
    <x:row r="23" spans="1:11" customFormat="1" ht="18" customHeight="1">
      <x:c r="A23" s="15" t="s">
        <x:v>281</x:v>
      </x:c>
      <x:c r="B23" s="14" t="s">
        <x:v>143</x:v>
      </x:c>
      <x:c r="C23" s="6">
        <x:v>2</x:v>
      </x:c>
      <x:c r="D23" s="14" t="s">
        <x:v>73</x:v>
      </x:c>
      <x:c r="E23" s="7" t="s">
        <x:v>90</x:v>
      </x:c>
      <x:c r="F23" s="1">
        <x:v>78</x:v>
      </x:c>
      <x:c r="G23" s="6">
        <x:f>J7*C23</x:f>
        <x:v>0</x:v>
      </x:c>
      <x:c r="H23" s="6"/>
      <x:c r="I23" s="6"/>
      <x:c r="J23" s="12">
        <x:f>F23+I23-G23-H23</x:f>
        <x:v>78</x:v>
      </x:c>
      <x:c r="K23" s="13">
        <x:f>J23/C23</x:f>
        <x:v>39</x:v>
      </x:c>
    </x:row>
    <x:row r="24" spans="1:11" ht="18" customHeight="1">
      <x:c r="A24" s="15" t="s">
        <x:v>67</x:v>
      </x:c>
      <x:c r="B24" s="14" t="s">
        <x:v>62</x:v>
      </x:c>
      <x:c r="C24" s="6">
        <x:v>4</x:v>
      </x:c>
      <x:c r="D24" s="14" t="s">
        <x:v>250</x:v>
      </x:c>
      <x:c r="E24" s="1" t="s">
        <x:v>69</x:v>
      </x:c>
      <x:c r="F24" s="7">
        <x:v>304</x:v>
      </x:c>
      <x:c r="G24" s="6">
        <x:f>SUM(H2:H11)*C24</x:f>
        <x:v>0</x:v>
      </x:c>
      <x:c r="H24" s="6"/>
      <x:c r="I24" s="6"/>
      <x:c r="J24" s="12">
        <x:f>F24+I24-G24-H24</x:f>
        <x:v>304</x:v>
      </x:c>
      <x:c r="K24" s="13">
        <x:f>J24/C24</x:f>
        <x:v>76</x:v>
      </x:c>
    </x:row>
    <x:row r="25" spans="1:11" ht="18" customHeight="1">
      <x:c r="A25" s="15" t="s">
        <x:v>67</x:v>
      </x:c>
      <x:c r="B25" s="14" t="s">
        <x:v>62</x:v>
      </x:c>
      <x:c r="C25" s="6">
        <x:v>4</x:v>
      </x:c>
      <x:c r="D25" s="14" t="s">
        <x:v>239</x:v>
      </x:c>
      <x:c r="E25" s="1" t="s">
        <x:v>61</x:v>
      </x:c>
      <x:c r="F25" s="7">
        <x:v>150</x:v>
      </x:c>
      <x:c r="G25" s="1">
        <x:f>SUM(H12:H14)*C25</x:f>
        <x:v>0</x:v>
      </x:c>
      <x:c r="J25" s="12">
        <x:f>F25+I25-G25-H25</x:f>
        <x:v>150</x:v>
      </x:c>
      <x:c r="K25" s="13">
        <x:f>J25/C25</x:f>
        <x:v>37.5</x:v>
      </x:c>
    </x:row>
    <x:row r="26" spans="1:11" ht="18" customHeight="1">
      <x:c r="A26" s="15" t="s">
        <x:v>67</x:v>
      </x:c>
      <x:c r="B26" s="14" t="s">
        <x:v>62</x:v>
      </x:c>
      <x:c r="C26" s="6">
        <x:v>4</x:v>
      </x:c>
      <x:c r="D26" s="14" t="s">
        <x:v>70</x:v>
      </x:c>
      <x:c r="E26" s="7" t="s">
        <x:v>26</x:v>
      </x:c>
      <x:c r="F26" s="1">
        <x:v>262</x:v>
      </x:c>
      <x:c r="G26" s="1">
        <x:f>H15*C26</x:f>
        <x:v>0</x:v>
      </x:c>
      <x:c r="J26" s="12">
        <x:f>F26+I26-G26-H26</x:f>
        <x:v>262</x:v>
      </x:c>
      <x:c r="K26" s="13">
        <x:f>J26/C26</x:f>
        <x:v>65.5</x:v>
      </x:c>
    </x:row>
    <x:row r="27" spans="1:11" ht="18" customHeight="1">
      <x:c r="A27" s="15" t="s">
        <x:v>67</x:v>
      </x:c>
      <x:c r="B27" s="14" t="s">
        <x:v>62</x:v>
      </x:c>
      <x:c r="C27" s="1">
        <x:v>4</x:v>
      </x:c>
      <x:c r="D27" s="14" t="s">
        <x:v>83</x:v>
      </x:c>
      <x:c r="E27" s="7" t="s">
        <x:v>61</x:v>
      </x:c>
      <x:c r="F27" s="1">
        <x:v>206</x:v>
      </x:c>
      <x:c r="G27" s="1">
        <x:f>J4*C27</x:f>
        <x:v>0</x:v>
      </x:c>
      <x:c r="J27" s="12">
        <x:f>F27+I27-G27-H27</x:f>
        <x:v>206</x:v>
      </x:c>
      <x:c r="K27" s="13">
        <x:f>J27/C27</x:f>
        <x:v>51.5</x:v>
      </x:c>
    </x:row>
    <x:row r="28" spans="1:11" ht="18" customHeight="1">
      <x:c r="A28" s="15" t="s">
        <x:v>67</x:v>
      </x:c>
      <x:c r="B28" s="14" t="s">
        <x:v>62</x:v>
      </x:c>
      <x:c r="C28" s="1">
        <x:v>4</x:v>
      </x:c>
      <x:c r="D28" s="14" t="s">
        <x:v>41</x:v>
      </x:c>
      <x:c r="E28" s="7" t="s">
        <x:v>50</x:v>
      </x:c>
      <x:c r="F28" s="1">
        <x:v>0</x:v>
      </x:c>
      <x:c r="G28" s="1">
        <x:f>J5*C28</x:f>
        <x:v>0</x:v>
      </x:c>
      <x:c r="J28" s="12">
        <x:f>F28+I28-G28-H28</x:f>
        <x:v>0</x:v>
      </x:c>
      <x:c r="K28" s="13">
        <x:f>J28/C28</x:f>
        <x:v>0</x:v>
      </x:c>
    </x:row>
    <x:row r="29" spans="1:11" ht="18" customHeight="1">
      <x:c r="A29" s="15" t="s">
        <x:v>67</x:v>
      </x:c>
      <x:c r="B29" s="14" t="s">
        <x:v>62</x:v>
      </x:c>
      <x:c r="C29" s="1">
        <x:v>4</x:v>
      </x:c>
      <x:c r="D29" s="14" t="s">
        <x:v>19</x:v>
      </x:c>
      <x:c r="E29" s="7" t="s">
        <x:v>74</x:v>
      </x:c>
      <x:c r="F29" s="1">
        <x:v>328</x:v>
      </x:c>
      <x:c r="G29" s="1">
        <x:f>SUM(J6:J7)*C29</x:f>
        <x:v>0</x:v>
      </x:c>
      <x:c r="J29" s="12">
        <x:f>F29+I29-G29-H29</x:f>
        <x:v>328</x:v>
      </x:c>
      <x:c r="K29" s="13">
        <x:f>J29/C29</x:f>
        <x:v>82</x:v>
      </x:c>
    </x:row>
    <x:row r="30" spans="1:11" customFormat="1" ht="18" customHeight="1">
      <x:c r="A30" s="15" t="s">
        <x:v>243</x:v>
      </x:c>
      <x:c r="B30" s="14" t="s">
        <x:v>62</x:v>
      </x:c>
      <x:c r="C30" s="6">
        <x:v>8</x:v>
      </x:c>
      <x:c r="D30" s="14" t="s">
        <x:v>250</x:v>
      </x:c>
      <x:c r="E30" s="1" t="s">
        <x:v>69</x:v>
      </x:c>
      <x:c r="F30" s="7">
        <x:v>612</x:v>
      </x:c>
      <x:c r="G30" s="6">
        <x:f>SUM(H2:H11)*C30</x:f>
        <x:v>0</x:v>
      </x:c>
      <x:c r="H30" s="6"/>
      <x:c r="I30" s="6"/>
      <x:c r="J30" s="12">
        <x:f>F30+I30-G30-H30</x:f>
        <x:v>612</x:v>
      </x:c>
      <x:c r="K30" s="13">
        <x:f>J30/C30</x:f>
        <x:v>76.5</x:v>
      </x:c>
    </x:row>
    <x:row r="31" spans="1:11" customFormat="1" ht="18" customHeight="1">
      <x:c r="A31" s="15" t="s">
        <x:v>243</x:v>
      </x:c>
      <x:c r="B31" s="14" t="s">
        <x:v>62</x:v>
      </x:c>
      <x:c r="C31" s="6">
        <x:v>8</x:v>
      </x:c>
      <x:c r="D31" s="14" t="s">
        <x:v>239</x:v>
      </x:c>
      <x:c r="E31" s="1" t="s">
        <x:v>61</x:v>
      </x:c>
      <x:c r="F31" s="7">
        <x:v>246</x:v>
      </x:c>
      <x:c r="G31" s="1">
        <x:f>SUM(H12:H14)*C31</x:f>
        <x:v>0</x:v>
      </x:c>
      <x:c r="H31" s="1"/>
      <x:c r="I31" s="1"/>
      <x:c r="J31" s="12">
        <x:f>F31+I31-G31-H31</x:f>
        <x:v>246</x:v>
      </x:c>
      <x:c r="K31" s="13">
        <x:f>J31/C31</x:f>
        <x:v>30.75</x:v>
      </x:c>
    </x:row>
    <x:row r="32" spans="1:11" customFormat="1" ht="18" customHeight="1">
      <x:c r="A32" s="15" t="s">
        <x:v>243</x:v>
      </x:c>
      <x:c r="B32" s="14" t="s">
        <x:v>62</x:v>
      </x:c>
      <x:c r="C32" s="6">
        <x:v>8</x:v>
      </x:c>
      <x:c r="D32" s="14" t="s">
        <x:v>70</x:v>
      </x:c>
      <x:c r="E32" s="7" t="s">
        <x:v>48</x:v>
      </x:c>
      <x:c r="F32" s="1">
        <x:v>530</x:v>
      </x:c>
      <x:c r="G32" s="1">
        <x:f>H15*C32</x:f>
        <x:v>0</x:v>
      </x:c>
      <x:c r="H32" s="1"/>
      <x:c r="I32" s="1"/>
      <x:c r="J32" s="12">
        <x:f>F32+I32-G32-H32</x:f>
        <x:v>530</x:v>
      </x:c>
      <x:c r="K32" s="13">
        <x:f>J32/C32</x:f>
        <x:v>66.25</x:v>
      </x:c>
    </x:row>
    <x:row r="33" spans="1:11" customFormat="1" ht="18" customHeight="1">
      <x:c r="A33" s="15" t="s">
        <x:v>243</x:v>
      </x:c>
      <x:c r="B33" s="14" t="s">
        <x:v>62</x:v>
      </x:c>
      <x:c r="C33" s="1">
        <x:v>5</x:v>
      </x:c>
      <x:c r="D33" s="14" t="s">
        <x:v>83</x:v>
      </x:c>
      <x:c r="E33" s="7" t="s">
        <x:v>82</x:v>
      </x:c>
      <x:c r="F33" s="1">
        <x:v>180</x:v>
      </x:c>
      <x:c r="G33" s="1">
        <x:f>J4*C33</x:f>
        <x:v>0</x:v>
      </x:c>
      <x:c r="H33" s="1"/>
      <x:c r="I33" s="1"/>
      <x:c r="J33" s="12">
        <x:f>F33+I33-G33-H33</x:f>
        <x:v>180</x:v>
      </x:c>
      <x:c r="K33" s="13">
        <x:f>J33/C33</x:f>
        <x:v>36</x:v>
      </x:c>
    </x:row>
    <x:row r="34" spans="1:11" customFormat="1" ht="18" customHeight="1">
      <x:c r="A34" s="15" t="s">
        <x:v>243</x:v>
      </x:c>
      <x:c r="B34" s="14" t="s">
        <x:v>62</x:v>
      </x:c>
      <x:c r="C34" s="1">
        <x:v>5</x:v>
      </x:c>
      <x:c r="D34" s="14" t="s">
        <x:v>41</x:v>
      </x:c>
      <x:c r="E34" s="7" t="s">
        <x:v>48</x:v>
      </x:c>
      <x:c r="F34" s="1">
        <x:v>5</x:v>
      </x:c>
      <x:c r="G34" s="1">
        <x:f>J5*C34</x:f>
        <x:v>0</x:v>
      </x:c>
      <x:c r="H34" s="1"/>
      <x:c r="I34" s="1"/>
      <x:c r="J34" s="12">
        <x:f>F34+I34-G34-H34</x:f>
        <x:v>5</x:v>
      </x:c>
      <x:c r="K34" s="13">
        <x:f>J34/C34</x:f>
        <x:v>1</x:v>
      </x:c>
    </x:row>
    <x:row r="35" spans="1:11" customFormat="1" ht="18" customHeight="1">
      <x:c r="A35" s="15" t="s">
        <x:v>243</x:v>
      </x:c>
      <x:c r="B35" s="14" t="s">
        <x:v>62</x:v>
      </x:c>
      <x:c r="C35" s="1">
        <x:v>5</x:v>
      </x:c>
      <x:c r="D35" s="14" t="s">
        <x:v>19</x:v>
      </x:c>
      <x:c r="E35" s="7" t="s">
        <x:v>97</x:v>
      </x:c>
      <x:c r="F35" s="1">
        <x:v>380</x:v>
      </x:c>
      <x:c r="G35" s="1">
        <x:f>J7*C35</x:f>
        <x:v>0</x:v>
      </x:c>
      <x:c r="H35" s="1"/>
      <x:c r="I35" s="1"/>
      <x:c r="J35" s="12">
        <x:f>F35+I35-G35-H35</x:f>
        <x:v>380</x:v>
      </x:c>
      <x:c r="K35" s="13">
        <x:f>J35/C35</x:f>
        <x:v>76</x:v>
      </x:c>
    </x:row>
    <x:row r="36" spans="1:11" customFormat="1" ht="18" customHeight="1">
      <x:c r="A36" s="15" t="s">
        <x:v>38</x:v>
      </x:c>
      <x:c r="B36" s="14" t="s">
        <x:v>156</x:v>
      </x:c>
      <x:c r="C36" s="6">
        <x:v>2</x:v>
      </x:c>
      <x:c r="D36" s="14" t="s">
        <x:v>250</x:v>
      </x:c>
      <x:c r="E36" s="1" t="s">
        <x:v>120</x:v>
      </x:c>
      <x:c r="F36" s="7">
        <x:v>79</x:v>
      </x:c>
      <x:c r="G36" s="6">
        <x:f>SUM(H2:H11)*C36</x:f>
        <x:v>0</x:v>
      </x:c>
      <x:c r="H36" s="6"/>
      <x:c r="I36" s="6"/>
      <x:c r="J36" s="12">
        <x:f>F36+I36-G36-H36</x:f>
        <x:v>79</x:v>
      </x:c>
      <x:c r="K36" s="13">
        <x:f>J36/C36</x:f>
        <x:v>39.5</x:v>
      </x:c>
    </x:row>
    <x:row r="37" spans="1:11" customFormat="1" ht="18" customHeight="1">
      <x:c r="A37" s="15" t="s">
        <x:v>38</x:v>
      </x:c>
      <x:c r="B37" s="14" t="s">
        <x:v>156</x:v>
      </x:c>
      <x:c r="C37" s="6">
        <x:v>2</x:v>
      </x:c>
      <x:c r="D37" s="14" t="s">
        <x:v>239</x:v>
      </x:c>
      <x:c r="E37" s="1" t="s">
        <x:v>64</x:v>
      </x:c>
      <x:c r="F37" s="7">
        <x:v>116</x:v>
      </x:c>
      <x:c r="G37" s="1">
        <x:f>SUM(H12:H14)*C37</x:f>
        <x:v>0</x:v>
      </x:c>
      <x:c r="H37" s="1"/>
      <x:c r="I37" s="1"/>
      <x:c r="J37" s="12">
        <x:f>F37+I37-G37-H37</x:f>
        <x:v>116</x:v>
      </x:c>
      <x:c r="K37" s="13">
        <x:f>J37/C37</x:f>
        <x:v>58</x:v>
      </x:c>
    </x:row>
    <x:row r="38" spans="1:11" customFormat="1" ht="18" customHeight="1">
      <x:c r="A38" s="15" t="s">
        <x:v>38</x:v>
      </x:c>
      <x:c r="B38" s="14" t="s">
        <x:v>156</x:v>
      </x:c>
      <x:c r="C38" s="6">
        <x:v>2</x:v>
      </x:c>
      <x:c r="D38" s="14" t="s">
        <x:v>70</x:v>
      </x:c>
      <x:c r="E38" s="7" t="s">
        <x:v>63</x:v>
      </x:c>
      <x:c r="F38" s="1">
        <x:v>70</x:v>
      </x:c>
      <x:c r="G38" s="1">
        <x:f>H15*C38</x:f>
        <x:v>0</x:v>
      </x:c>
      <x:c r="H38" s="1"/>
      <x:c r="I38" s="1"/>
      <x:c r="J38" s="12">
        <x:f>F38+I38-G38-H38</x:f>
        <x:v>70</x:v>
      </x:c>
      <x:c r="K38" s="13">
        <x:f>J38/C38</x:f>
        <x:v>35</x:v>
      </x:c>
    </x:row>
    <x:row r="39" spans="1:11" customFormat="1" ht="18" customHeight="1">
      <x:c r="A39" s="15" t="s">
        <x:v>38</x:v>
      </x:c>
      <x:c r="B39" s="14" t="s">
        <x:v>156</x:v>
      </x:c>
      <x:c r="C39" s="1">
        <x:v>2</x:v>
      </x:c>
      <x:c r="D39" s="14" t="s">
        <x:v>83</x:v>
      </x:c>
      <x:c r="E39" s="1" t="s">
        <x:v>236</x:v>
      </x:c>
      <x:c r="F39" s="1">
        <x:v>68</x:v>
      </x:c>
      <x:c r="G39" s="1">
        <x:f>J4*C39</x:f>
        <x:v>0</x:v>
      </x:c>
      <x:c r="H39" s="1"/>
      <x:c r="I39" s="1"/>
      <x:c r="J39" s="12">
        <x:f>F39+I39-G39-H39</x:f>
        <x:v>68</x:v>
      </x:c>
      <x:c r="K39" s="13">
        <x:f>J39/C39</x:f>
        <x:v>34</x:v>
      </x:c>
    </x:row>
    <x:row r="40" spans="1:11" customFormat="1" ht="18" customHeight="1">
      <x:c r="A40" s="15" t="s">
        <x:v>38</x:v>
      </x:c>
      <x:c r="B40" s="14" t="s">
        <x:v>156</x:v>
      </x:c>
      <x:c r="C40" s="1">
        <x:v>2</x:v>
      </x:c>
      <x:c r="D40" s="14" t="s">
        <x:v>41</x:v>
      </x:c>
      <x:c r="E40" s="7" t="s">
        <x:v>258</x:v>
      </x:c>
      <x:c r="F40" s="1">
        <x:v>0</x:v>
      </x:c>
      <x:c r="G40" s="1">
        <x:f>J5*C40</x:f>
        <x:v>0</x:v>
      </x:c>
      <x:c r="H40" s="1"/>
      <x:c r="I40" s="1"/>
      <x:c r="J40" s="12">
        <x:f>F40+I40-G40-H40</x:f>
        <x:v>0</x:v>
      </x:c>
      <x:c r="K40" s="13">
        <x:f>J40/C40</x:f>
        <x:v>0</x:v>
      </x:c>
    </x:row>
    <x:row r="41" spans="1:11" customFormat="1" ht="18" customHeight="1">
      <x:c r="A41" s="15" t="s">
        <x:v>38</x:v>
      </x:c>
      <x:c r="B41" s="14" t="s">
        <x:v>156</x:v>
      </x:c>
      <x:c r="C41" s="1">
        <x:v>2</x:v>
      </x:c>
      <x:c r="D41" s="14" t="s">
        <x:v>47</x:v>
      </x:c>
      <x:c r="E41" s="7" t="s">
        <x:v>232</x:v>
      </x:c>
      <x:c r="F41" s="1">
        <x:v>88</x:v>
      </x:c>
      <x:c r="G41" s="1">
        <x:f>J6*C41</x:f>
        <x:v>0</x:v>
      </x:c>
      <x:c r="H41" s="1"/>
      <x:c r="I41" s="1"/>
      <x:c r="J41" s="12">
        <x:f>F41+I41-G41-H41</x:f>
        <x:v>88</x:v>
      </x:c>
      <x:c r="K41" s="13">
        <x:f>J41/C41</x:f>
        <x:v>44</x:v>
      </x:c>
    </x:row>
    <x:row r="42" spans="1:11" ht="18" customHeight="1">
      <x:c r="A42" s="15" t="s">
        <x:v>38</x:v>
      </x:c>
      <x:c r="B42" s="14" t="s">
        <x:v>156</x:v>
      </x:c>
      <x:c r="C42" s="1">
        <x:v>2</x:v>
      </x:c>
      <x:c r="D42" s="9" t="s">
        <x:v>73</x:v>
      </x:c>
      <x:c r="E42" s="7" t="s">
        <x:v>52</x:v>
      </x:c>
      <x:c r="F42" s="1">
        <x:v>81</x:v>
      </x:c>
      <x:c r="G42" s="1">
        <x:f>J7*C42</x:f>
        <x:v>0</x:v>
      </x:c>
      <x:c r="J42" s="12">
        <x:f>F42+I42-G42-H42</x:f>
        <x:v>81</x:v>
      </x:c>
      <x:c r="K42" s="13">
        <x:f>J42/C42</x:f>
        <x:v>40.5</x:v>
      </x:c>
    </x:row>
    <x:row r="43" spans="1:11" customFormat="1" ht="18" customHeight="1">
      <x:c r="A43" s="15" t="s">
        <x:v>253</x:v>
      </x:c>
      <x:c r="B43" s="14" t="s">
        <x:v>143</x:v>
      </x:c>
      <x:c r="C43" s="6">
        <x:v>2</x:v>
      </x:c>
      <x:c r="D43" s="14" t="s">
        <x:v>250</x:v>
      </x:c>
      <x:c r="E43" s="1" t="s">
        <x:v>201</x:v>
      </x:c>
      <x:c r="F43" s="7">
        <x:v>36</x:v>
      </x:c>
      <x:c r="G43" s="6">
        <x:f>SUM(H2:H11)*C43</x:f>
        <x:v>0</x:v>
      </x:c>
      <x:c r="H43" s="6"/>
      <x:c r="I43" s="6"/>
      <x:c r="J43" s="12">
        <x:f>F43+I43-G43-H43</x:f>
        <x:v>36</x:v>
      </x:c>
      <x:c r="K43" s="13">
        <x:f>J43/C43</x:f>
        <x:v>18</x:v>
      </x:c>
    </x:row>
    <x:row r="44" spans="1:11" customFormat="1" ht="18" customHeight="1">
      <x:c r="A44" s="15" t="s">
        <x:v>253</x:v>
      </x:c>
      <x:c r="B44" s="14" t="s">
        <x:v>143</x:v>
      </x:c>
      <x:c r="C44" s="6">
        <x:v>2</x:v>
      </x:c>
      <x:c r="D44" s="14" t="s">
        <x:v>239</x:v>
      </x:c>
      <x:c r="E44" s="1" t="s">
        <x:v>150</x:v>
      </x:c>
      <x:c r="F44" s="7">
        <x:v>177</x:v>
      </x:c>
      <x:c r="G44" s="1">
        <x:f>SUM(H12:H14)*C44</x:f>
        <x:v>0</x:v>
      </x:c>
      <x:c r="H44" s="1"/>
      <x:c r="I44" s="1"/>
      <x:c r="J44" s="12">
        <x:f>F44+I44-G44-H44</x:f>
        <x:v>177</x:v>
      </x:c>
      <x:c r="K44" s="13">
        <x:f>J44/C44</x:f>
        <x:v>88.5</x:v>
      </x:c>
    </x:row>
    <x:row r="45" spans="1:11" customFormat="1" ht="18" customHeight="1">
      <x:c r="A45" s="15" t="s">
        <x:v>253</x:v>
      </x:c>
      <x:c r="B45" s="14" t="s">
        <x:v>143</x:v>
      </x:c>
      <x:c r="C45" s="6">
        <x:v>2</x:v>
      </x:c>
      <x:c r="D45" s="14" t="s">
        <x:v>70</x:v>
      </x:c>
      <x:c r="E45" s="7" t="s">
        <x:v>148</x:v>
      </x:c>
      <x:c r="F45" s="1">
        <x:v>65</x:v>
      </x:c>
      <x:c r="G45" s="1">
        <x:f>H15*C45</x:f>
        <x:v>0</x:v>
      </x:c>
      <x:c r="H45" s="1"/>
      <x:c r="I45" s="1"/>
      <x:c r="J45" s="12">
        <x:f>F45+I45-G45-H45</x:f>
        <x:v>65</x:v>
      </x:c>
      <x:c r="K45" s="13">
        <x:f>J45/C45</x:f>
        <x:v>32.5</x:v>
      </x:c>
    </x:row>
    <x:row r="46" spans="1:11" customFormat="1" ht="18" customHeight="1">
      <x:c r="A46" s="15" t="s">
        <x:v>253</x:v>
      </x:c>
      <x:c r="B46" s="14" t="s">
        <x:v>137</x:v>
      </x:c>
      <x:c r="C46" s="1">
        <x:v>1</x:v>
      </x:c>
      <x:c r="D46" s="14" t="s">
        <x:v>83</x:v>
      </x:c>
      <x:c r="E46" s="1" t="s">
        <x:v>126</x:v>
      </x:c>
      <x:c r="F46" s="1">
        <x:v>0</x:v>
      </x:c>
      <x:c r="G46" s="1">
        <x:f>J4*C46</x:f>
        <x:v>0</x:v>
      </x:c>
      <x:c r="H46" s="1"/>
      <x:c r="I46" s="1"/>
      <x:c r="J46" s="12">
        <x:f>F46+I46-G46-H46</x:f>
        <x:v>0</x:v>
      </x:c>
      <x:c r="K46" s="13">
        <x:f>J46/C46</x:f>
        <x:v>0</x:v>
      </x:c>
    </x:row>
    <x:row r="47" spans="1:11" customFormat="1" ht="18" customHeight="1">
      <x:c r="A47" s="15" t="s">
        <x:v>253</x:v>
      </x:c>
      <x:c r="B47" s="14" t="s">
        <x:v>137</x:v>
      </x:c>
      <x:c r="C47" s="1">
        <x:v>1</x:v>
      </x:c>
      <x:c r="D47" s="14" t="s">
        <x:v>41</x:v>
      </x:c>
      <x:c r="E47" s="7"/>
      <x:c r="F47" s="1">
        <x:v>3</x:v>
      </x:c>
      <x:c r="G47" s="1">
        <x:f>J5*C47</x:f>
        <x:v>0</x:v>
      </x:c>
      <x:c r="H47" s="1"/>
      <x:c r="I47" s="1"/>
      <x:c r="J47" s="12">
        <x:f>F47+I47-G47-H47</x:f>
        <x:v>3</x:v>
      </x:c>
      <x:c r="K47" s="13">
        <x:f>J47/C47</x:f>
        <x:v>3</x:v>
      </x:c>
    </x:row>
    <x:row r="48" spans="1:11" customFormat="1" ht="18" customHeight="1">
      <x:c r="A48" s="15" t="s">
        <x:v>253</x:v>
      </x:c>
      <x:c r="B48" s="14" t="s">
        <x:v>137</x:v>
      </x:c>
      <x:c r="C48" s="1">
        <x:v>1</x:v>
      </x:c>
      <x:c r="D48" s="14" t="s">
        <x:v>47</x:v>
      </x:c>
      <x:c r="E48" s="7" t="s">
        <x:v>133</x:v>
      </x:c>
      <x:c r="F48" s="1">
        <x:v>8</x:v>
      </x:c>
      <x:c r="G48" s="1">
        <x:f>J6*C48</x:f>
        <x:v>0</x:v>
      </x:c>
      <x:c r="H48" s="1"/>
      <x:c r="I48" s="1"/>
      <x:c r="J48" s="12">
        <x:f>F48+I48-G48-H48</x:f>
        <x:v>8</x:v>
      </x:c>
      <x:c r="K48" s="13">
        <x:f>J48/C48</x:f>
        <x:v>8</x:v>
      </x:c>
    </x:row>
    <x:row r="49" spans="1:11" customFormat="1" ht="18" customHeight="1">
      <x:c r="A49" s="15" t="s">
        <x:v>253</x:v>
      </x:c>
      <x:c r="B49" s="14" t="s">
        <x:v>137</x:v>
      </x:c>
      <x:c r="C49" s="1">
        <x:v>1</x:v>
      </x:c>
      <x:c r="D49" s="9" t="s">
        <x:v>73</x:v>
      </x:c>
      <x:c r="E49" s="7" t="s">
        <x:v>133</x:v>
      </x:c>
      <x:c r="F49" s="1">
        <x:v>7</x:v>
      </x:c>
      <x:c r="G49" s="1">
        <x:f>J7*C49</x:f>
        <x:v>0</x:v>
      </x:c>
      <x:c r="H49" s="1"/>
      <x:c r="I49" s="1"/>
      <x:c r="J49" s="12">
        <x:f>F49+I49-G49-H49</x:f>
        <x:v>7</x:v>
      </x:c>
      <x:c r="K49" s="13">
        <x:f>J49/C49</x:f>
        <x:v>7</x:v>
      </x:c>
    </x:row>
    <x:row r="50" spans="1:11" customFormat="1" ht="18" customHeight="1">
      <x:c r="A50" s="15" t="s">
        <x:v>274</x:v>
      </x:c>
      <x:c r="B50" s="14" t="s">
        <x:v>143</x:v>
      </x:c>
      <x:c r="C50" s="6">
        <x:v>2</x:v>
      </x:c>
      <x:c r="D50" s="14" t="s">
        <x:v>250</x:v>
      </x:c>
      <x:c r="E50" s="1" t="s">
        <x:v>85</x:v>
      </x:c>
      <x:c r="F50" s="7">
        <x:v>116</x:v>
      </x:c>
      <x:c r="G50" s="6">
        <x:f>SUM(H2:H11)*C50</x:f>
        <x:v>0</x:v>
      </x:c>
      <x:c r="H50" s="6"/>
      <x:c r="I50" s="6"/>
      <x:c r="J50" s="12">
        <x:f>F50+I50-G50-H50</x:f>
        <x:v>116</x:v>
      </x:c>
      <x:c r="K50" s="13">
        <x:f>J50/C50</x:f>
        <x:v>58</x:v>
      </x:c>
    </x:row>
    <x:row r="51" spans="1:11" customFormat="1" ht="18" customHeight="1">
      <x:c r="A51" s="15" t="s">
        <x:v>274</x:v>
      </x:c>
      <x:c r="B51" s="14" t="s">
        <x:v>143</x:v>
      </x:c>
      <x:c r="C51" s="6">
        <x:v>2</x:v>
      </x:c>
      <x:c r="D51" s="14" t="s">
        <x:v>239</x:v>
      </x:c>
      <x:c r="E51" s="1" t="s">
        <x:v>45</x:v>
      </x:c>
      <x:c r="F51" s="7">
        <x:v>62</x:v>
      </x:c>
      <x:c r="G51" s="1">
        <x:f>SUM(H12:H14)*C51</x:f>
        <x:v>0</x:v>
      </x:c>
      <x:c r="H51" s="1"/>
      <x:c r="I51" s="1"/>
      <x:c r="J51" s="12">
        <x:f>F51+I51-G51-H51</x:f>
        <x:v>62</x:v>
      </x:c>
      <x:c r="K51" s="13">
        <x:f>J51/C51</x:f>
        <x:v>31</x:v>
      </x:c>
    </x:row>
    <x:row r="52" spans="1:11" customFormat="1" ht="18" customHeight="1">
      <x:c r="A52" s="15" t="s">
        <x:v>274</x:v>
      </x:c>
      <x:c r="B52" s="14" t="s">
        <x:v>143</x:v>
      </x:c>
      <x:c r="C52" s="6">
        <x:v>2</x:v>
      </x:c>
      <x:c r="D52" s="14" t="s">
        <x:v>70</x:v>
      </x:c>
      <x:c r="E52" s="7" t="s">
        <x:v>66</x:v>
      </x:c>
      <x:c r="F52" s="1">
        <x:v>93</x:v>
      </x:c>
      <x:c r="G52" s="1">
        <x:f>H15*C52</x:f>
        <x:v>0</x:v>
      </x:c>
      <x:c r="H52" s="1"/>
      <x:c r="I52" s="1"/>
      <x:c r="J52" s="12">
        <x:f>F52+I52-G52-H52</x:f>
        <x:v>93</x:v>
      </x:c>
      <x:c r="K52" s="13">
        <x:f>J52/C52</x:f>
        <x:v>46.5</x:v>
      </x:c>
    </x:row>
    <x:row r="53" spans="1:11" customFormat="1" ht="18" customHeight="1">
      <x:c r="A53" s="15" t="s">
        <x:v>274</x:v>
      </x:c>
      <x:c r="B53" s="14" t="s">
        <x:v>137</x:v>
      </x:c>
      <x:c r="C53" s="1">
        <x:v>1</x:v>
      </x:c>
      <x:c r="D53" s="14" t="s">
        <x:v>83</x:v>
      </x:c>
      <x:c r="E53" s="1"/>
      <x:c r="F53" s="1">
        <x:v>1</x:v>
      </x:c>
      <x:c r="G53" s="1">
        <x:f>J4*C53</x:f>
        <x:v>0</x:v>
      </x:c>
      <x:c r="H53" s="1"/>
      <x:c r="I53" s="1"/>
      <x:c r="J53" s="12">
        <x:f>F53+I53-G53-H53</x:f>
        <x:v>1</x:v>
      </x:c>
      <x:c r="K53" s="13">
        <x:f>J53/C53</x:f>
        <x:v>1</x:v>
      </x:c>
    </x:row>
    <x:row r="54" spans="1:11" customFormat="1" ht="18" customHeight="1">
      <x:c r="A54" s="15" t="s">
        <x:v>274</x:v>
      </x:c>
      <x:c r="B54" s="14" t="s">
        <x:v>137</x:v>
      </x:c>
      <x:c r="C54" s="1">
        <x:v>1</x:v>
      </x:c>
      <x:c r="D54" s="14" t="s">
        <x:v>41</x:v>
      </x:c>
      <x:c r="E54" s="7"/>
      <x:c r="F54" s="1">
        <x:v>0</x:v>
      </x:c>
      <x:c r="G54" s="1">
        <x:f>J5*C54</x:f>
        <x:v>0</x:v>
      </x:c>
      <x:c r="H54" s="1"/>
      <x:c r="I54" s="1"/>
      <x:c r="J54" s="12">
        <x:f>F54+I54-G54-H54</x:f>
        <x:v>0</x:v>
      </x:c>
      <x:c r="K54" s="13">
        <x:f>J54/C54</x:f>
        <x:v>0</x:v>
      </x:c>
    </x:row>
    <x:row r="55" spans="1:11" customFormat="1" ht="18" customHeight="1">
      <x:c r="A55" s="15" t="s">
        <x:v>274</x:v>
      </x:c>
      <x:c r="B55" s="14" t="s">
        <x:v>137</x:v>
      </x:c>
      <x:c r="C55" s="1">
        <x:v>1</x:v>
      </x:c>
      <x:c r="D55" s="14" t="s">
        <x:v>47</x:v>
      </x:c>
      <x:c r="E55" s="7"/>
      <x:c r="F55" s="1">
        <x:v>9</x:v>
      </x:c>
      <x:c r="G55" s="1">
        <x:f>J6*C55</x:f>
        <x:v>0</x:v>
      </x:c>
      <x:c r="H55" s="1"/>
      <x:c r="I55" s="1"/>
      <x:c r="J55" s="12">
        <x:f>F55+I55-G55-H55</x:f>
        <x:v>9</x:v>
      </x:c>
      <x:c r="K55" s="13">
        <x:f>J55/C55</x:f>
        <x:v>9</x:v>
      </x:c>
    </x:row>
    <x:row r="56" spans="1:11" customFormat="1" ht="18" customHeight="1">
      <x:c r="A56" s="15" t="s">
        <x:v>274</x:v>
      </x:c>
      <x:c r="B56" s="14" t="s">
        <x:v>137</x:v>
      </x:c>
      <x:c r="C56" s="1">
        <x:v>1</x:v>
      </x:c>
      <x:c r="D56" s="9" t="s">
        <x:v>73</x:v>
      </x:c>
      <x:c r="E56" s="7" t="s">
        <x:v>92</x:v>
      </x:c>
      <x:c r="F56" s="1">
        <x:v>7</x:v>
      </x:c>
      <x:c r="G56" s="1">
        <x:f>J7*C56</x:f>
        <x:v>0</x:v>
      </x:c>
      <x:c r="H56" s="1"/>
      <x:c r="I56" s="1"/>
      <x:c r="J56" s="12">
        <x:f>F56+I56-G56-H56</x:f>
        <x:v>7</x:v>
      </x:c>
      <x:c r="K56" s="13">
        <x:f>J56/C56</x:f>
        <x:v>7</x:v>
      </x:c>
    </x:row>
    <x:row r="57" spans="1:11" customFormat="1" ht="18" customHeight="1">
      <x:c r="A57" s="15" t="s">
        <x:v>53</x:v>
      </x:c>
      <x:c r="B57" s="14" t="s">
        <x:v>143</x:v>
      </x:c>
      <x:c r="C57" s="6">
        <x:v>8</x:v>
      </x:c>
      <x:c r="D57" s="14" t="s">
        <x:v>250</x:v>
      </x:c>
      <x:c r="E57" s="1" t="s">
        <x:v>175</x:v>
      </x:c>
      <x:c r="F57" s="7">
        <x:v>318</x:v>
      </x:c>
      <x:c r="G57" s="6">
        <x:f>SUM(H2:H11)*C57</x:f>
        <x:v>0</x:v>
      </x:c>
      <x:c r="H57" s="6"/>
      <x:c r="I57" s="6"/>
      <x:c r="J57" s="12">
        <x:f>F57+I57-G57-H57</x:f>
        <x:v>318</x:v>
      </x:c>
      <x:c r="K57" s="13">
        <x:f>J57/C57</x:f>
        <x:v>39.75</x:v>
      </x:c>
    </x:row>
    <x:row r="58" spans="1:11" customFormat="1" ht="18" customHeight="1">
      <x:c r="A58" s="15" t="s">
        <x:v>53</x:v>
      </x:c>
      <x:c r="B58" s="14" t="s">
        <x:v>143</x:v>
      </x:c>
      <x:c r="C58" s="6">
        <x:v>8</x:v>
      </x:c>
      <x:c r="D58" s="14" t="s">
        <x:v>239</x:v>
      </x:c>
      <x:c r="E58" s="1" t="s">
        <x:v>159</x:v>
      </x:c>
      <x:c r="F58" s="7">
        <x:v>299</x:v>
      </x:c>
      <x:c r="G58" s="1">
        <x:f>SUM(H12:H14)*C58</x:f>
        <x:v>0</x:v>
      </x:c>
      <x:c r="H58" s="1"/>
      <x:c r="I58" s="1"/>
      <x:c r="J58" s="12">
        <x:f>F58+I58-G58-H58</x:f>
        <x:v>299</x:v>
      </x:c>
      <x:c r="K58" s="13">
        <x:f>J58/C58</x:f>
        <x:v>37.375</x:v>
      </x:c>
    </x:row>
    <x:row r="59" spans="1:11" customFormat="1" ht="18" customHeight="1">
      <x:c r="A59" s="15" t="s">
        <x:v>53</x:v>
      </x:c>
      <x:c r="B59" s="14" t="s">
        <x:v>143</x:v>
      </x:c>
      <x:c r="C59" s="6">
        <x:v>8</x:v>
      </x:c>
      <x:c r="D59" s="14" t="s">
        <x:v>70</x:v>
      </x:c>
      <x:c r="E59" s="7" t="s">
        <x:v>192</x:v>
      </x:c>
      <x:c r="F59" s="1">
        <x:v>686</x:v>
      </x:c>
      <x:c r="G59" s="1">
        <x:f>H15*C59</x:f>
        <x:v>0</x:v>
      </x:c>
      <x:c r="H59" s="1"/>
      <x:c r="I59" s="1"/>
      <x:c r="J59" s="12">
        <x:f>F59+I59-G59-H59</x:f>
        <x:v>686</x:v>
      </x:c>
      <x:c r="K59" s="13">
        <x:f>J59/C59</x:f>
        <x:v>85.75</x:v>
      </x:c>
    </x:row>
    <x:row r="60" spans="1:11" customFormat="1" ht="18" customHeight="1">
      <x:c r="A60" s="15" t="s">
        <x:v>53</x:v>
      </x:c>
      <x:c r="B60" s="14" t="s">
        <x:v>140</x:v>
      </x:c>
      <x:c r="C60" s="1">
        <x:v>4</x:v>
      </x:c>
      <x:c r="D60" s="14" t="s">
        <x:v>83</x:v>
      </x:c>
      <x:c r="E60" s="1" t="s">
        <x:v>49</x:v>
      </x:c>
      <x:c r="F60" s="1">
        <x:v>138</x:v>
      </x:c>
      <x:c r="G60" s="1">
        <x:f>J4*C60</x:f>
        <x:v>0</x:v>
      </x:c>
      <x:c r="H60" s="1"/>
      <x:c r="I60" s="1"/>
      <x:c r="J60" s="12">
        <x:f>F60+I60-G60-H60</x:f>
        <x:v>138</x:v>
      </x:c>
      <x:c r="K60" s="13">
        <x:f>J60/C60</x:f>
        <x:v>34.5</x:v>
      </x:c>
    </x:row>
    <x:row r="61" spans="1:11" customFormat="1" ht="18" customHeight="1">
      <x:c r="A61" s="15" t="s">
        <x:v>53</x:v>
      </x:c>
      <x:c r="B61" s="14" t="s">
        <x:v>140</x:v>
      </x:c>
      <x:c r="C61" s="1">
        <x:v>4</x:v>
      </x:c>
      <x:c r="D61" s="14" t="s">
        <x:v>8</x:v>
      </x:c>
      <x:c r="E61" s="7" t="s">
        <x:v>71</x:v>
      </x:c>
      <x:c r="F61" s="1">
        <x:v>155</x:v>
      </x:c>
      <x:c r="G61" s="1">
        <x:f>SUM(J5:J6)*C61</x:f>
        <x:v>0</x:v>
      </x:c>
      <x:c r="H61" s="1"/>
      <x:c r="I61" s="1"/>
      <x:c r="J61" s="12">
        <x:f>F61+I61-G61-H61</x:f>
        <x:v>155</x:v>
      </x:c>
      <x:c r="K61" s="13">
        <x:f>J61/C61</x:f>
        <x:v>38.75</x:v>
      </x:c>
    </x:row>
    <x:row r="62" spans="1:11" customFormat="1" ht="18" customHeight="1">
      <x:c r="A62" s="15" t="s">
        <x:v>53</x:v>
      </x:c>
      <x:c r="B62" s="14" t="s">
        <x:v>140</x:v>
      </x:c>
      <x:c r="C62" s="1">
        <x:v>4</x:v>
      </x:c>
      <x:c r="D62" s="9" t="s">
        <x:v>73</x:v>
      </x:c>
      <x:c r="E62" s="7" t="s">
        <x:v>79</x:v>
      </x:c>
      <x:c r="F62" s="1">
        <x:v>165</x:v>
      </x:c>
      <x:c r="G62" s="1">
        <x:f>J7*C62</x:f>
        <x:v>0</x:v>
      </x:c>
      <x:c r="H62" s="1"/>
      <x:c r="I62" s="1"/>
      <x:c r="J62" s="12">
        <x:f>F62+I62-G62-H62</x:f>
        <x:v>165</x:v>
      </x:c>
      <x:c r="K62" s="13">
        <x:f>J62/C62</x:f>
        <x:v>41.25</x:v>
      </x:c>
    </x:row>
    <x:row r="63" spans="1:11" customFormat="1" ht="18" customHeight="1">
      <x:c r="A63" s="15" t="s">
        <x:v>260</x:v>
      </x:c>
      <x:c r="B63" s="14" t="s">
        <x:v>160</x:v>
      </x:c>
      <x:c r="C63" s="1">
        <x:v>2</x:v>
      </x:c>
      <x:c r="D63" s="9" t="s">
        <x:v>250</x:v>
      </x:c>
      <x:c r="E63" s="7" t="s">
        <x:v>125</x:v>
      </x:c>
      <x:c r="F63" s="1">
        <x:v>122</x:v>
      </x:c>
      <x:c r="G63" s="1">
        <x:f>SUM(H2:H11)*C63</x:f>
        <x:v>0</x:v>
      </x:c>
      <x:c r="H63" s="1"/>
      <x:c r="I63" s="1"/>
      <x:c r="J63" s="12">
        <x:f>F63+I63-G63-H63</x:f>
        <x:v>122</x:v>
      </x:c>
      <x:c r="K63" s="13">
        <x:f>J63/C63</x:f>
        <x:v>61</x:v>
      </x:c>
    </x:row>
    <x:row r="64" spans="1:11" customFormat="1" ht="18" customHeight="1">
      <x:c r="A64" s="15" t="s">
        <x:v>260</x:v>
      </x:c>
      <x:c r="B64" s="14" t="s">
        <x:v>160</x:v>
      </x:c>
      <x:c r="C64" s="6">
        <x:v>2</x:v>
      </x:c>
      <x:c r="D64" s="14" t="s">
        <x:v>239</x:v>
      </x:c>
      <x:c r="E64" s="1" t="s">
        <x:v>132</x:v>
      </x:c>
      <x:c r="F64" s="7">
        <x:v>37</x:v>
      </x:c>
      <x:c r="G64" s="1">
        <x:f>SUM(H12:H14)*C64</x:f>
        <x:v>0</x:v>
      </x:c>
      <x:c r="H64" s="1"/>
      <x:c r="I64" s="1"/>
      <x:c r="J64" s="12">
        <x:f>F64+I64-G64-H64</x:f>
        <x:v>37</x:v>
      </x:c>
      <x:c r="K64" s="13">
        <x:f>J64/C64</x:f>
        <x:v>18.5</x:v>
      </x:c>
    </x:row>
    <x:row r="65" spans="1:11" customFormat="1" ht="18" customHeight="1">
      <x:c r="A65" s="15" t="s">
        <x:v>260</x:v>
      </x:c>
      <x:c r="B65" s="14" t="s">
        <x:v>160</x:v>
      </x:c>
      <x:c r="C65" s="6">
        <x:v>2</x:v>
      </x:c>
      <x:c r="D65" s="14" t="s">
        <x:v>70</x:v>
      </x:c>
      <x:c r="E65" s="7" t="s">
        <x:v>129</x:v>
      </x:c>
      <x:c r="F65" s="1">
        <x:v>94</x:v>
      </x:c>
      <x:c r="G65" s="1">
        <x:f>H15*C65</x:f>
        <x:v>0</x:v>
      </x:c>
      <x:c r="H65" s="1"/>
      <x:c r="I65" s="1"/>
      <x:c r="J65" s="12">
        <x:f>F65+I65-G65-H65</x:f>
        <x:v>94</x:v>
      </x:c>
      <x:c r="K65" s="13">
        <x:f>J65/C65</x:f>
        <x:v>47</x:v>
      </x:c>
    </x:row>
    <x:row r="66" spans="1:11" customFormat="1" ht="18" customHeight="1">
      <x:c r="A66" s="15" t="s">
        <x:v>256</x:v>
      </x:c>
      <x:c r="B66" s="14" t="s">
        <x:v>161</x:v>
      </x:c>
      <x:c r="C66" s="6">
        <x:v>2</x:v>
      </x:c>
      <x:c r="D66" s="14" t="s">
        <x:v>250</x:v>
      </x:c>
      <x:c r="E66" s="1" t="s">
        <x:v>152</x:v>
      </x:c>
      <x:c r="F66" s="7">
        <x:v>72</x:v>
      </x:c>
      <x:c r="G66" s="6">
        <x:f>SUM(H2:H11)*C66</x:f>
        <x:v>0</x:v>
      </x:c>
      <x:c r="H66" s="6"/>
      <x:c r="I66" s="6"/>
      <x:c r="J66" s="12">
        <x:f>F66+I66-G66-H66</x:f>
        <x:v>72</x:v>
      </x:c>
      <x:c r="K66" s="13">
        <x:f>J66/C66</x:f>
        <x:v>36</x:v>
      </x:c>
    </x:row>
    <x:row r="67" spans="1:11" customFormat="1" ht="18" customHeight="1">
      <x:c r="A67" s="15" t="s">
        <x:v>256</x:v>
      </x:c>
      <x:c r="B67" s="14" t="s">
        <x:v>161</x:v>
      </x:c>
      <x:c r="C67" s="6">
        <x:v>2</x:v>
      </x:c>
      <x:c r="D67" s="14" t="s">
        <x:v>239</x:v>
      </x:c>
      <x:c r="E67" s="1" t="s">
        <x:v>141</x:v>
      </x:c>
      <x:c r="F67" s="7">
        <x:v>41</x:v>
      </x:c>
      <x:c r="G67" s="1">
        <x:f>SUM(H12:H14)*C67</x:f>
        <x:v>0</x:v>
      </x:c>
      <x:c r="H67" s="1"/>
      <x:c r="I67" s="1"/>
      <x:c r="J67" s="12">
        <x:f>F67+I67-G67-H67</x:f>
        <x:v>41</x:v>
      </x:c>
      <x:c r="K67" s="13">
        <x:f>J67/C67</x:f>
        <x:v>20.5</x:v>
      </x:c>
    </x:row>
    <x:row r="68" spans="1:11" customFormat="1" ht="18" customHeight="1">
      <x:c r="A68" s="15" t="s">
        <x:v>256</x:v>
      </x:c>
      <x:c r="B68" s="14" t="s">
        <x:v>161</x:v>
      </x:c>
      <x:c r="C68" s="6">
        <x:v>2</x:v>
      </x:c>
      <x:c r="D68" s="14" t="s">
        <x:v>70</x:v>
      </x:c>
      <x:c r="E68" s="7" t="s">
        <x:v>138</x:v>
      </x:c>
      <x:c r="F68" s="1">
        <x:v>32</x:v>
      </x:c>
      <x:c r="G68" s="1">
        <x:f>H15*C68</x:f>
        <x:v>0</x:v>
      </x:c>
      <x:c r="H68" s="1"/>
      <x:c r="I68" s="1"/>
      <x:c r="J68" s="12">
        <x:f>F68+I68-G68-H68</x:f>
        <x:v>32</x:v>
      </x:c>
      <x:c r="K68" s="13">
        <x:f>J68/C68</x:f>
        <x:v>16</x:v>
      </x:c>
    </x:row>
    <x:row r="69" spans="1:11" ht="18" customHeight="1">
      <x:c r="A69" s="15" t="s">
        <x:v>29</x:v>
      </x:c>
      <x:c r="B69" s="14" t="s">
        <x:v>137</x:v>
      </x:c>
      <x:c r="C69" s="1">
        <x:v>1</x:v>
      </x:c>
      <x:c r="D69" s="9" t="s">
        <x:v>83</x:v>
      </x:c>
      <x:c r="E69" s="1" t="s">
        <x:v>126</x:v>
      </x:c>
      <x:c r="F69" s="1">
        <x:v>0</x:v>
      </x:c>
      <x:c r="G69" s="1">
        <x:f>J4*C69</x:f>
        <x:v>0</x:v>
      </x:c>
      <x:c r="J69" s="12">
        <x:f>F69+I69-G69-H69</x:f>
        <x:v>0</x:v>
      </x:c>
      <x:c r="K69" s="13">
        <x:f>J69/C69</x:f>
        <x:v>0</x:v>
      </x:c>
    </x:row>
    <x:row r="70" spans="1:11" ht="18" customHeight="1">
      <x:c r="A70" s="15" t="s">
        <x:v>29</x:v>
      </x:c>
      <x:c r="B70" s="14" t="s">
        <x:v>137</x:v>
      </x:c>
      <x:c r="C70" s="1">
        <x:v>1</x:v>
      </x:c>
      <x:c r="D70" s="9" t="s">
        <x:v>41</x:v>
      </x:c>
      <x:c r="F70" s="1">
        <x:v>3</x:v>
      </x:c>
      <x:c r="G70" s="1">
        <x:f>J5*C70</x:f>
        <x:v>0</x:v>
      </x:c>
      <x:c r="J70" s="12">
        <x:f>F70+I70-G70-H70</x:f>
        <x:v>3</x:v>
      </x:c>
      <x:c r="K70" s="13">
        <x:f>J70/C70</x:f>
        <x:v>3</x:v>
      </x:c>
    </x:row>
    <x:row r="71" spans="1:11" ht="18" customHeight="1">
      <x:c r="A71" s="15" t="s">
        <x:v>29</x:v>
      </x:c>
      <x:c r="B71" s="14" t="s">
        <x:v>137</x:v>
      </x:c>
      <x:c r="C71" s="1">
        <x:v>1</x:v>
      </x:c>
      <x:c r="D71" s="9" t="s">
        <x:v>47</x:v>
      </x:c>
      <x:c r="E71" s="1" t="s">
        <x:v>136</x:v>
      </x:c>
      <x:c r="F71" s="1">
        <x:v>10</x:v>
      </x:c>
      <x:c r="G71" s="1">
        <x:f>J6*C71</x:f>
        <x:v>0</x:v>
      </x:c>
      <x:c r="J71" s="12">
        <x:f>F71+I71-G71-H71</x:f>
        <x:v>10</x:v>
      </x:c>
      <x:c r="K71" s="13">
        <x:f>J71/C71</x:f>
        <x:v>10</x:v>
      </x:c>
    </x:row>
    <x:row r="72" spans="1:11" ht="18" customHeight="1">
      <x:c r="A72" s="15" t="s">
        <x:v>29</x:v>
      </x:c>
      <x:c r="B72" s="14" t="s">
        <x:v>137</x:v>
      </x:c>
      <x:c r="C72" s="1">
        <x:v>1</x:v>
      </x:c>
      <x:c r="D72" s="9" t="s">
        <x:v>73</x:v>
      </x:c>
      <x:c r="E72" s="1" t="s">
        <x:v>136</x:v>
      </x:c>
      <x:c r="F72" s="1">
        <x:v>6</x:v>
      </x:c>
      <x:c r="G72" s="1">
        <x:f>J7*C72</x:f>
        <x:v>0</x:v>
      </x:c>
      <x:c r="J72" s="12">
        <x:f>F72+I72-G72-H72</x:f>
        <x:v>6</x:v>
      </x:c>
      <x:c r="K72" s="13">
        <x:f>J72/C72</x:f>
        <x:v>6</x:v>
      </x:c>
    </x:row>
    <x:row r="73" spans="1:11" ht="18" customHeight="1">
      <x:c r="A73" s="15" t="s">
        <x:v>81</x:v>
      </x:c>
      <x:c r="B73" s="14" t="s">
        <x:v>172</x:v>
      </x:c>
      <x:c r="C73" s="1">
        <x:v>1</x:v>
      </x:c>
      <x:c r="D73" s="9" t="s">
        <x:v>83</x:v>
      </x:c>
      <x:c r="F73" s="1">
        <x:v>0</x:v>
      </x:c>
      <x:c r="G73" s="1">
        <x:f>J4*C73</x:f>
        <x:v>0</x:v>
      </x:c>
      <x:c r="J73" s="12">
        <x:f>F73+I73-G73-H73</x:f>
        <x:v>0</x:v>
      </x:c>
      <x:c r="K73" s="13">
        <x:f>J73/C73</x:f>
        <x:v>0</x:v>
      </x:c>
    </x:row>
    <x:row r="74" spans="1:11" ht="18" customHeight="1">
      <x:c r="A74" s="15" t="s">
        <x:v>81</x:v>
      </x:c>
      <x:c r="B74" s="14" t="s">
        <x:v>172</x:v>
      </x:c>
      <x:c r="C74" s="1">
        <x:v>1</x:v>
      </x:c>
      <x:c r="D74" s="9" t="s">
        <x:v>41</x:v>
      </x:c>
      <x:c r="F74" s="1">
        <x:v>0</x:v>
      </x:c>
      <x:c r="G74" s="1">
        <x:f>J5*C74</x:f>
        <x:v>0</x:v>
      </x:c>
      <x:c r="J74" s="12">
        <x:f>F74+I74-G74-H74</x:f>
        <x:v>0</x:v>
      </x:c>
      <x:c r="K74" s="13">
        <x:f>J74/C74</x:f>
        <x:v>0</x:v>
      </x:c>
    </x:row>
    <x:row r="75" spans="1:11" ht="18" customHeight="1">
      <x:c r="A75" s="15" t="s">
        <x:v>81</x:v>
      </x:c>
      <x:c r="B75" s="14" t="s">
        <x:v>172</x:v>
      </x:c>
      <x:c r="C75" s="1">
        <x:v>1</x:v>
      </x:c>
      <x:c r="D75" s="9" t="s">
        <x:v>47</x:v>
      </x:c>
      <x:c r="F75" s="1">
        <x:v>9</x:v>
      </x:c>
      <x:c r="G75" s="1">
        <x:f>J6*C75</x:f>
        <x:v>0</x:v>
      </x:c>
      <x:c r="J75" s="12">
        <x:f>F75+I75-G75-H75</x:f>
        <x:v>9</x:v>
      </x:c>
      <x:c r="K75" s="13">
        <x:f>J75/C75</x:f>
        <x:v>9</x:v>
      </x:c>
    </x:row>
    <x:row r="76" spans="1:11" ht="18" customHeight="1">
      <x:c r="A76" s="15" t="s">
        <x:v>81</x:v>
      </x:c>
      <x:c r="B76" s="14" t="s">
        <x:v>172</x:v>
      </x:c>
      <x:c r="C76" s="1">
        <x:v>1</x:v>
      </x:c>
      <x:c r="D76" s="9" t="s">
        <x:v>73</x:v>
      </x:c>
      <x:c r="F76" s="1">
        <x:v>8</x:v>
      </x:c>
      <x:c r="G76" s="1">
        <x:f>J7*C76</x:f>
        <x:v>0</x:v>
      </x:c>
      <x:c r="J76" s="12">
        <x:f>F76+I76-G76-H76</x:f>
        <x:v>8</x:v>
      </x:c>
      <x:c r="K76" s="13">
        <x:f>J76/C76</x:f>
        <x:v>8</x:v>
      </x:c>
    </x:row>
    <x:row r="77" spans="1:11" ht="18" customHeight="1">
      <x:c r="A77" s="15" t="s">
        <x:v>13</x:v>
      </x:c>
      <x:c r="B77" s="14" t="s">
        <x:v>137</x:v>
      </x:c>
      <x:c r="C77" s="1">
        <x:v>1</x:v>
      </x:c>
      <x:c r="D77" s="9" t="s">
        <x:v>83</x:v>
      </x:c>
      <x:c r="F77" s="1">
        <x:v>1</x:v>
      </x:c>
      <x:c r="G77" s="1">
        <x:f>J4*C77</x:f>
        <x:v>0</x:v>
      </x:c>
      <x:c r="J77" s="12">
        <x:f>F77+I77-G77-H77</x:f>
        <x:v>1</x:v>
      </x:c>
      <x:c r="K77" s="13">
        <x:f>J77/C77</x:f>
        <x:v>1</x:v>
      </x:c>
    </x:row>
    <x:row r="78" spans="1:11" ht="18" customHeight="1">
      <x:c r="A78" s="15" t="s">
        <x:v>13</x:v>
      </x:c>
      <x:c r="B78" s="14" t="s">
        <x:v>137</x:v>
      </x:c>
      <x:c r="C78" s="1">
        <x:v>1</x:v>
      </x:c>
      <x:c r="D78" s="9" t="s">
        <x:v>41</x:v>
      </x:c>
      <x:c r="F78" s="1">
        <x:v>1</x:v>
      </x:c>
      <x:c r="G78" s="1">
        <x:f>J5*C78</x:f>
        <x:v>0</x:v>
      </x:c>
      <x:c r="J78" s="12">
        <x:f>F78+I78-G78-H78</x:f>
        <x:v>1</x:v>
      </x:c>
      <x:c r="K78" s="13">
        <x:f>J78/C78</x:f>
        <x:v>1</x:v>
      </x:c>
    </x:row>
    <x:row r="79" spans="1:11" ht="18" customHeight="1">
      <x:c r="A79" s="15" t="s">
        <x:v>13</x:v>
      </x:c>
      <x:c r="B79" s="14" t="s">
        <x:v>137</x:v>
      </x:c>
      <x:c r="C79" s="1">
        <x:v>1</x:v>
      </x:c>
      <x:c r="D79" s="9" t="s">
        <x:v>47</x:v>
      </x:c>
      <x:c r="F79" s="1">
        <x:v>8</x:v>
      </x:c>
      <x:c r="G79" s="1">
        <x:f>J6*C79</x:f>
        <x:v>0</x:v>
      </x:c>
      <x:c r="J79" s="12">
        <x:f>F79+I79-G79-H79</x:f>
        <x:v>8</x:v>
      </x:c>
      <x:c r="K79" s="13">
        <x:f>J79/C79</x:f>
        <x:v>8</x:v>
      </x:c>
    </x:row>
    <x:row r="80" spans="1:11" ht="18" customHeight="1">
      <x:c r="A80" s="15" t="s">
        <x:v>144</x:v>
      </x:c>
      <x:c r="B80" s="14" t="s">
        <x:v>62</x:v>
      </x:c>
      <x:c r="C80" s="1">
        <x:v>1</x:v>
      </x:c>
      <x:c r="D80" s="9" t="s">
        <x:v>83</x:v>
      </x:c>
      <x:c r="E80" s="1" t="s">
        <x:v>68</x:v>
      </x:c>
      <x:c r="F80" s="1">
        <x:v>35</x:v>
      </x:c>
      <x:c r="G80" s="1">
        <x:f>J4*C80</x:f>
        <x:v>0</x:v>
      </x:c>
      <x:c r="J80" s="12">
        <x:f>F80+I80-G80-H80</x:f>
        <x:v>35</x:v>
      </x:c>
      <x:c r="K80" s="13">
        <x:f>J80/C80</x:f>
        <x:v>35</x:v>
      </x:c>
    </x:row>
    <x:row r="81" spans="1:11" ht="18" customHeight="1">
      <x:c r="A81" s="15" t="s">
        <x:v>144</x:v>
      </x:c>
      <x:c r="B81" s="14" t="s">
        <x:v>62</x:v>
      </x:c>
      <x:c r="C81" s="1">
        <x:v>1</x:v>
      </x:c>
      <x:c r="D81" s="9" t="s">
        <x:v>41</x:v>
      </x:c>
      <x:c r="E81" s="1" t="s">
        <x:v>107</x:v>
      </x:c>
      <x:c r="F81" s="1">
        <x:v>0</x:v>
      </x:c>
      <x:c r="G81" s="1">
        <x:f>J5*C81</x:f>
        <x:v>0</x:v>
      </x:c>
      <x:c r="J81" s="12">
        <x:f>F81+I81-G81-H81</x:f>
        <x:v>0</x:v>
      </x:c>
      <x:c r="K81" s="13">
        <x:f>J81/C81</x:f>
        <x:v>0</x:v>
      </x:c>
    </x:row>
    <x:row r="82" spans="1:11" ht="18" customHeight="1">
      <x:c r="A82" s="15" t="s">
        <x:v>144</x:v>
      </x:c>
      <x:c r="B82" s="14" t="s">
        <x:v>62</x:v>
      </x:c>
      <x:c r="C82" s="1">
        <x:v>1</x:v>
      </x:c>
      <x:c r="D82" s="9" t="s">
        <x:v>47</x:v>
      </x:c>
      <x:c r="E82" s="1" t="s">
        <x:v>59</x:v>
      </x:c>
      <x:c r="F82" s="1">
        <x:v>44</x:v>
      </x:c>
      <x:c r="G82" s="1">
        <x:f>J6*C82</x:f>
        <x:v>0</x:v>
      </x:c>
      <x:c r="J82" s="12">
        <x:f>F82+I82-G82-H82</x:f>
        <x:v>44</x:v>
      </x:c>
      <x:c r="K82" s="13">
        <x:f>J82/C82</x:f>
        <x:v>44</x:v>
      </x:c>
    </x:row>
    <x:row r="83" spans="1:11" ht="18" customHeight="1">
      <x:c r="A83" s="15" t="s">
        <x:v>144</x:v>
      </x:c>
      <x:c r="B83" s="14" t="s">
        <x:v>62</x:v>
      </x:c>
      <x:c r="C83" s="1">
        <x:v>1</x:v>
      </x:c>
      <x:c r="D83" s="9" t="s">
        <x:v>73</x:v>
      </x:c>
      <x:c r="E83" s="1" t="s">
        <x:v>56</x:v>
      </x:c>
      <x:c r="F83" s="1">
        <x:v>37</x:v>
      </x:c>
      <x:c r="G83" s="1">
        <x:f>J7*C83</x:f>
        <x:v>0</x:v>
      </x:c>
      <x:c r="J83" s="12">
        <x:f>F83+I83-G83-H83</x:f>
        <x:v>37</x:v>
      </x:c>
      <x:c r="K83" s="13">
        <x:f>J83/C83</x:f>
        <x:v>37</x:v>
      </x:c>
    </x:row>
    <x:row r="84" spans="1:11" ht="18" customHeight="1">
      <x:c r="A84" s="15" t="s">
        <x:v>57</x:v>
      </x:c>
      <x:c r="B84" s="14" t="s">
        <x:v>112</x:v>
      </x:c>
      <x:c r="C84" s="1">
        <x:v>1</x:v>
      </x:c>
      <x:c r="D84" s="9" t="s">
        <x:v>83</x:v>
      </x:c>
      <x:c r="E84" s="1" t="s">
        <x:v>194</x:v>
      </x:c>
      <x:c r="F84" s="1">
        <x:v>41</x:v>
      </x:c>
      <x:c r="G84" s="1">
        <x:f>J4*C84</x:f>
        <x:v>0</x:v>
      </x:c>
      <x:c r="J84" s="12">
        <x:f>F84+I84-G84-H84</x:f>
        <x:v>41</x:v>
      </x:c>
      <x:c r="K84" s="13">
        <x:f>J84/C84</x:f>
        <x:v>41</x:v>
      </x:c>
    </x:row>
    <x:row r="85" spans="1:11" ht="18" customHeight="1">
      <x:c r="A85" s="15" t="s">
        <x:v>57</x:v>
      </x:c>
      <x:c r="B85" s="14" t="s">
        <x:v>112</x:v>
      </x:c>
      <x:c r="C85" s="1">
        <x:v>1</x:v>
      </x:c>
      <x:c r="D85" s="9" t="s">
        <x:v>41</x:v>
      </x:c>
      <x:c r="E85" s="1" t="s">
        <x:v>164</x:v>
      </x:c>
      <x:c r="F85" s="1">
        <x:v>1</x:v>
      </x:c>
      <x:c r="G85" s="1">
        <x:f>J5*C85</x:f>
        <x:v>0</x:v>
      </x:c>
      <x:c r="J85" s="12">
        <x:f>F85+I85-G85-H85</x:f>
        <x:v>1</x:v>
      </x:c>
      <x:c r="K85" s="13">
        <x:f>J85/C85</x:f>
        <x:v>1</x:v>
      </x:c>
    </x:row>
    <x:row r="86" spans="1:11" ht="18" customHeight="1">
      <x:c r="A86" s="15" t="s">
        <x:v>57</x:v>
      </x:c>
      <x:c r="B86" s="14" t="s">
        <x:v>112</x:v>
      </x:c>
      <x:c r="C86" s="1">
        <x:v>1</x:v>
      </x:c>
      <x:c r="D86" s="9" t="s">
        <x:v>47</x:v>
      </x:c>
      <x:c r="E86" s="1" t="s">
        <x:v>146</x:v>
      </x:c>
      <x:c r="F86" s="1">
        <x:v>36</x:v>
      </x:c>
      <x:c r="G86" s="1">
        <x:f>J6*C86</x:f>
        <x:v>0</x:v>
      </x:c>
      <x:c r="J86" s="12">
        <x:f>F86+I86-G86-H86</x:f>
        <x:v>36</x:v>
      </x:c>
      <x:c r="K86" s="13">
        <x:f>J86/C86</x:f>
        <x:v>36</x:v>
      </x:c>
    </x:row>
    <x:row r="87" spans="1:11" ht="18" customHeight="1">
      <x:c r="A87" s="15" t="s">
        <x:v>57</x:v>
      </x:c>
      <x:c r="B87" s="14" t="s">
        <x:v>112</x:v>
      </x:c>
      <x:c r="C87" s="1">
        <x:v>1</x:v>
      </x:c>
      <x:c r="D87" s="9" t="s">
        <x:v>73</x:v>
      </x:c>
      <x:c r="E87" s="1" t="s">
        <x:v>146</x:v>
      </x:c>
      <x:c r="F87" s="1">
        <x:v>36</x:v>
      </x:c>
      <x:c r="G87" s="1">
        <x:f>J7*C87</x:f>
        <x:v>0</x:v>
      </x:c>
      <x:c r="J87" s="12">
        <x:f>F87+I87-G87-H87</x:f>
        <x:v>36</x:v>
      </x:c>
      <x:c r="K87" s="13">
        <x:f>J87/C87</x:f>
        <x:v>36</x:v>
      </x:c>
    </x:row>
    <x:row r="88" spans="1:11" customFormat="1" ht="18" customHeight="1">
      <x:c r="A88" s="15" t="s">
        <x:v>149</x:v>
      </x:c>
      <x:c r="B88" s="14" t="s">
        <x:v>143</x:v>
      </x:c>
      <x:c r="C88" s="1">
        <x:v>1</x:v>
      </x:c>
      <x:c r="D88" s="14" t="s">
        <x:v>246</x:v>
      </x:c>
      <x:c r="E88" s="1" t="s">
        <x:v>289</x:v>
      </x:c>
      <x:c r="F88" s="1">
        <x:v>1</x:v>
      </x:c>
      <x:c r="G88" s="1">
        <x:f>SUM(H4:H5)*C88</x:f>
        <x:v>0</x:v>
      </x:c>
      <x:c r="H88" s="1"/>
      <x:c r="I88" s="1"/>
      <x:c r="J88" s="12">
        <x:f>F88+I88-G88-H88</x:f>
        <x:v>1</x:v>
      </x:c>
      <x:c r="K88" s="13">
        <x:f>J88/C88</x:f>
        <x:v>1</x:v>
      </x:c>
    </x:row>
    <x:row r="89" spans="1:11" customFormat="1" ht="18" customHeight="1">
      <x:c r="A89" s="15" t="s">
        <x:v>149</x:v>
      </x:c>
      <x:c r="B89" s="14" t="s">
        <x:v>143</x:v>
      </x:c>
      <x:c r="C89" s="1">
        <x:v>1</x:v>
      </x:c>
      <x:c r="D89" s="14" t="s">
        <x:v>246</x:v>
      </x:c>
      <x:c r="E89" s="6" t="s">
        <x:v>162</x:v>
      </x:c>
      <x:c r="F89" s="1">
        <x:v>3</x:v>
      </x:c>
      <x:c r="G89" s="1">
        <x:f>SUM(H4:H5)*C89</x:f>
        <x:v>0</x:v>
      </x:c>
      <x:c r="H89" s="1"/>
      <x:c r="I89" s="1"/>
      <x:c r="J89" s="12">
        <x:f>F89+I89-G89-H89</x:f>
        <x:v>3</x:v>
      </x:c>
      <x:c r="K89" s="13">
        <x:f>J89/C89</x:f>
        <x:v>3</x:v>
      </x:c>
    </x:row>
    <x:row r="90" spans="1:11" customFormat="1" ht="18" customHeight="1">
      <x:c r="A90" s="15" t="s">
        <x:v>149</x:v>
      </x:c>
      <x:c r="B90" s="14" t="s">
        <x:v>143</x:v>
      </x:c>
      <x:c r="C90" s="1">
        <x:v>1</x:v>
      </x:c>
      <x:c r="D90" s="14" t="s">
        <x:v>23</x:v>
      </x:c>
      <x:c r="E90" s="1" t="s">
        <x:v>289</x:v>
      </x:c>
      <x:c r="F90" s="1"/>
      <x:c r="G90" s="1">
        <x:f>H2*C90</x:f>
        <x:v>0</x:v>
      </x:c>
      <x:c r="H90" s="1"/>
      <x:c r="I90" s="1"/>
      <x:c r="J90" s="12">
        <x:f>F90+I90-G90-H90</x:f>
        <x:v>0</x:v>
      </x:c>
      <x:c r="K90" s="13">
        <x:f>J90/C90</x:f>
        <x:v>0</x:v>
      </x:c>
    </x:row>
    <x:row r="91" spans="1:11" customFormat="1" ht="18" customHeight="1">
      <x:c r="A91" s="15" t="s">
        <x:v>149</x:v>
      </x:c>
      <x:c r="B91" s="14" t="s">
        <x:v>143</x:v>
      </x:c>
      <x:c r="C91" s="1">
        <x:v>1</x:v>
      </x:c>
      <x:c r="D91" s="14" t="s">
        <x:v>23</x:v>
      </x:c>
      <x:c r="E91" s="6" t="s">
        <x:v>162</x:v>
      </x:c>
      <x:c r="F91" s="1"/>
      <x:c r="G91" s="1">
        <x:f>H2*C91</x:f>
        <x:v>0</x:v>
      </x:c>
      <x:c r="H91" s="1"/>
      <x:c r="I91" s="1"/>
      <x:c r="J91" s="12">
        <x:f>F91+I91-G91-H91</x:f>
        <x:v>0</x:v>
      </x:c>
      <x:c r="K91" s="13">
        <x:f>J91/C91</x:f>
        <x:v>0</x:v>
      </x:c>
    </x:row>
    <x:row r="92" spans="1:11" customFormat="1" ht="18" customHeight="1">
      <x:c r="A92" s="15" t="s">
        <x:v>149</x:v>
      </x:c>
      <x:c r="B92" s="14" t="s">
        <x:v>143</x:v>
      </x:c>
      <x:c r="C92" s="1">
        <x:v>1</x:v>
      </x:c>
      <x:c r="D92" s="14" t="s">
        <x:v>51</x:v>
      </x:c>
      <x:c r="E92" s="1" t="s">
        <x:v>289</x:v>
      </x:c>
      <x:c r="F92" s="1">
        <x:v>4</x:v>
      </x:c>
      <x:c r="G92" s="1">
        <x:f>H5</x:f>
        <x:v>0</x:v>
      </x:c>
      <x:c r="H92" s="1"/>
      <x:c r="I92" s="1"/>
      <x:c r="J92" s="12">
        <x:f>F92+I92-G92-H92</x:f>
        <x:v>4</x:v>
      </x:c>
      <x:c r="K92" s="13">
        <x:f>J92/C92</x:f>
        <x:v>4</x:v>
      </x:c>
    </x:row>
    <x:row r="93" spans="1:11" customFormat="1" ht="18" customHeight="1">
      <x:c r="A93" s="15" t="s">
        <x:v>149</x:v>
      </x:c>
      <x:c r="B93" s="14" t="s">
        <x:v>143</x:v>
      </x:c>
      <x:c r="C93" s="1">
        <x:v>1</x:v>
      </x:c>
      <x:c r="D93" s="14" t="s">
        <x:v>51</x:v>
      </x:c>
      <x:c r="E93" s="6" t="s">
        <x:v>162</x:v>
      </x:c>
      <x:c r="F93" s="1">
        <x:v>4</x:v>
      </x:c>
      <x:c r="G93" s="1">
        <x:f>H5</x:f>
        <x:v>0</x:v>
      </x:c>
      <x:c r="H93" s="1"/>
      <x:c r="I93" s="1"/>
      <x:c r="J93" s="12">
        <x:f>F93+I93-G93-H93</x:f>
        <x:v>4</x:v>
      </x:c>
      <x:c r="K93" s="13">
        <x:f>J93/C93</x:f>
        <x:v>4</x:v>
      </x:c>
    </x:row>
    <x:row r="94" spans="1:11" customFormat="1" ht="18" customHeight="1">
      <x:c r="A94" s="15" t="s">
        <x:v>149</x:v>
      </x:c>
      <x:c r="B94" s="14" t="s">
        <x:v>143</x:v>
      </x:c>
      <x:c r="C94" s="1">
        <x:v>1</x:v>
      </x:c>
      <x:c r="D94" s="14" t="s">
        <x:v>234</x:v>
      </x:c>
      <x:c r="E94" s="1" t="s">
        <x:v>289</x:v>
      </x:c>
      <x:c r="F94" s="1">
        <x:v>44</x:v>
      </x:c>
      <x:c r="G94" s="1">
        <x:f>SUM(H10,H6)</x:f>
        <x:v>0</x:v>
      </x:c>
      <x:c r="H94" s="1"/>
      <x:c r="I94" s="1"/>
      <x:c r="J94" s="12">
        <x:f>F94+I94-G94-H94</x:f>
        <x:v>44</x:v>
      </x:c>
      <x:c r="K94" s="13">
        <x:f>J94/C94</x:f>
        <x:v>44</x:v>
      </x:c>
    </x:row>
    <x:row r="95" spans="1:11" customFormat="1" ht="18" customHeight="1">
      <x:c r="A95" s="15" t="s">
        <x:v>149</x:v>
      </x:c>
      <x:c r="B95" s="14" t="s">
        <x:v>143</x:v>
      </x:c>
      <x:c r="C95" s="1">
        <x:v>1</x:v>
      </x:c>
      <x:c r="D95" s="14" t="s">
        <x:v>234</x:v>
      </x:c>
      <x:c r="E95" s="6" t="s">
        <x:v>162</x:v>
      </x:c>
      <x:c r="F95" s="1">
        <x:v>44</x:v>
      </x:c>
      <x:c r="G95" s="1">
        <x:f>SUM(H6,H10)</x:f>
        <x:v>0</x:v>
      </x:c>
      <x:c r="H95" s="1"/>
      <x:c r="I95" s="1"/>
      <x:c r="J95" s="12">
        <x:f>F95+I95-G95-H95</x:f>
        <x:v>44</x:v>
      </x:c>
      <x:c r="K95" s="13">
        <x:f>J95/C95</x:f>
        <x:v>44</x:v>
      </x:c>
    </x:row>
    <x:row r="96" spans="1:11" customFormat="1" ht="18" customHeight="1">
      <x:c r="A96" s="15" t="s">
        <x:v>149</x:v>
      </x:c>
      <x:c r="B96" s="14" t="s">
        <x:v>143</x:v>
      </x:c>
      <x:c r="C96" s="1">
        <x:v>1</x:v>
      </x:c>
      <x:c r="D96" s="14" t="s">
        <x:v>44</x:v>
      </x:c>
      <x:c r="E96" s="1" t="s">
        <x:v>289</x:v>
      </x:c>
      <x:c r="F96" s="1">
        <x:v>26</x:v>
      </x:c>
      <x:c r="G96" s="1">
        <x:f>H7</x:f>
        <x:v>0</x:v>
      </x:c>
      <x:c r="H96" s="1"/>
      <x:c r="I96" s="1"/>
      <x:c r="J96" s="12">
        <x:f>F96+I96-G96-H96</x:f>
        <x:v>26</x:v>
      </x:c>
      <x:c r="K96" s="13">
        <x:f>J96/C96</x:f>
        <x:v>26</x:v>
      </x:c>
    </x:row>
    <x:row r="97" spans="1:11" customFormat="1" ht="18" customHeight="1">
      <x:c r="A97" s="15" t="s">
        <x:v>149</x:v>
      </x:c>
      <x:c r="B97" s="14" t="s">
        <x:v>143</x:v>
      </x:c>
      <x:c r="C97" s="1">
        <x:v>1</x:v>
      </x:c>
      <x:c r="D97" s="14" t="s">
        <x:v>44</x:v>
      </x:c>
      <x:c r="E97" s="6" t="s">
        <x:v>162</x:v>
      </x:c>
      <x:c r="F97" s="1">
        <x:v>26</x:v>
      </x:c>
      <x:c r="G97" s="1">
        <x:f>H7</x:f>
        <x:v>0</x:v>
      </x:c>
      <x:c r="H97" s="1"/>
      <x:c r="I97" s="1"/>
      <x:c r="J97" s="12">
        <x:f>F97+I97-G97-H97</x:f>
        <x:v>26</x:v>
      </x:c>
      <x:c r="K97" s="13">
        <x:f>J97/C97</x:f>
        <x:v>26</x:v>
      </x:c>
    </x:row>
    <x:row r="98" spans="1:11" customFormat="1" ht="18" customHeight="1">
      <x:c r="A98" s="15" t="s">
        <x:v>149</x:v>
      </x:c>
      <x:c r="B98" s="14" t="s">
        <x:v>143</x:v>
      </x:c>
      <x:c r="C98" s="1">
        <x:v>1</x:v>
      </x:c>
      <x:c r="D98" s="14" t="s">
        <x:v>76</x:v>
      </x:c>
      <x:c r="E98" s="1" t="s">
        <x:v>289</x:v>
      </x:c>
      <x:c r="F98" s="1"/>
      <x:c r="G98" s="1">
        <x:f>H8</x:f>
        <x:v>0</x:v>
      </x:c>
      <x:c r="H98" s="1"/>
      <x:c r="I98" s="1"/>
      <x:c r="J98" s="12">
        <x:f>F98+I98-G98-H98</x:f>
        <x:v>0</x:v>
      </x:c>
      <x:c r="K98" s="13">
        <x:f>J98/C98</x:f>
        <x:v>0</x:v>
      </x:c>
    </x:row>
    <x:row r="99" spans="1:11" customFormat="1" ht="18" customHeight="1">
      <x:c r="A99" s="15" t="s">
        <x:v>149</x:v>
      </x:c>
      <x:c r="B99" s="14" t="s">
        <x:v>143</x:v>
      </x:c>
      <x:c r="C99" s="1">
        <x:v>1</x:v>
      </x:c>
      <x:c r="D99" s="14" t="s">
        <x:v>76</x:v>
      </x:c>
      <x:c r="E99" s="6" t="s">
        <x:v>162</x:v>
      </x:c>
      <x:c r="F99" s="1"/>
      <x:c r="G99" s="1">
        <x:f>H8</x:f>
        <x:v>0</x:v>
      </x:c>
      <x:c r="H99" s="1"/>
      <x:c r="I99" s="1"/>
      <x:c r="J99" s="12">
        <x:f>F99+I99-G99-H99</x:f>
        <x:v>0</x:v>
      </x:c>
      <x:c r="K99" s="13">
        <x:f>J99/C99</x:f>
        <x:v>0</x:v>
      </x:c>
    </x:row>
    <x:row r="100" spans="1:11" customFormat="1" ht="18" customHeight="1">
      <x:c r="A100" s="15" t="s">
        <x:v>149</x:v>
      </x:c>
      <x:c r="B100" s="14" t="s">
        <x:v>143</x:v>
      </x:c>
      <x:c r="C100" s="1">
        <x:v>1</x:v>
      </x:c>
      <x:c r="D100" s="14" t="s">
        <x:v>6</x:v>
      </x:c>
      <x:c r="E100" s="1" t="s">
        <x:v>289</x:v>
      </x:c>
      <x:c r="F100" s="1">
        <x:v>6</x:v>
      </x:c>
      <x:c r="G100" s="1">
        <x:f>SUM(H9,H11)*C100</x:f>
        <x:v>0</x:v>
      </x:c>
      <x:c r="H100" s="1"/>
      <x:c r="I100" s="1"/>
      <x:c r="J100" s="12">
        <x:f>F100+I100-G100-H100</x:f>
        <x:v>6</x:v>
      </x:c>
      <x:c r="K100" s="13">
        <x:f>J100/C100</x:f>
        <x:v>6</x:v>
      </x:c>
    </x:row>
    <x:row r="101" spans="1:11" customFormat="1" ht="18" customHeight="1">
      <x:c r="A101" s="15" t="s">
        <x:v>149</x:v>
      </x:c>
      <x:c r="B101" s="14" t="s">
        <x:v>143</x:v>
      </x:c>
      <x:c r="C101" s="1">
        <x:v>1</x:v>
      </x:c>
      <x:c r="D101" s="14" t="s">
        <x:v>6</x:v>
      </x:c>
      <x:c r="E101" s="6" t="s">
        <x:v>162</x:v>
      </x:c>
      <x:c r="F101" s="1">
        <x:v>6</x:v>
      </x:c>
      <x:c r="G101" s="1">
        <x:f>SUM(H9,H11)*C101</x:f>
        <x:v>0</x:v>
      </x:c>
      <x:c r="H101" s="1"/>
      <x:c r="I101" s="1"/>
      <x:c r="J101" s="12">
        <x:f>F101+I101-G101-H101</x:f>
        <x:v>6</x:v>
      </x:c>
      <x:c r="K101" s="13">
        <x:f>J101/C101</x:f>
        <x:v>6</x:v>
      </x:c>
    </x:row>
    <x:row r="102" spans="1:11" customFormat="1" ht="18" customHeight="1">
      <x:c r="A102" s="15" t="s">
        <x:v>149</x:v>
      </x:c>
      <x:c r="B102" s="14" t="s">
        <x:v>143</x:v>
      </x:c>
      <x:c r="C102" s="1">
        <x:v>1</x:v>
      </x:c>
      <x:c r="D102" s="14" t="s">
        <x:v>239</x:v>
      </x:c>
      <x:c r="E102" s="1" t="s">
        <x:v>289</x:v>
      </x:c>
      <x:c r="F102" s="1">
        <x:v>36</x:v>
      </x:c>
      <x:c r="G102" s="1">
        <x:f>SUM(H12,H13,H14)</x:f>
        <x:v>0</x:v>
      </x:c>
      <x:c r="H102" s="1"/>
      <x:c r="I102" s="1"/>
      <x:c r="J102" s="12">
        <x:f>F102+I102-G102-H102</x:f>
        <x:v>36</x:v>
      </x:c>
      <x:c r="K102" s="13">
        <x:f>J102/C102</x:f>
        <x:v>36</x:v>
      </x:c>
    </x:row>
    <x:row r="103" spans="1:11" customFormat="1" ht="18" customHeight="1">
      <x:c r="A103" s="15" t="s">
        <x:v>149</x:v>
      </x:c>
      <x:c r="B103" s="14" t="s">
        <x:v>143</x:v>
      </x:c>
      <x:c r="C103" s="1">
        <x:v>1</x:v>
      </x:c>
      <x:c r="D103" s="14" t="s">
        <x:v>239</x:v>
      </x:c>
      <x:c r="E103" s="6" t="s">
        <x:v>162</x:v>
      </x:c>
      <x:c r="F103" s="1">
        <x:v>36</x:v>
      </x:c>
      <x:c r="G103" s="1">
        <x:f>SUM(H12,H13,H14)</x:f>
        <x:v>0</x:v>
      </x:c>
      <x:c r="H103" s="1"/>
      <x:c r="I103" s="1"/>
      <x:c r="J103" s="12">
        <x:f>F103+I103-G103-H103</x:f>
        <x:v>36</x:v>
      </x:c>
      <x:c r="K103" s="13">
        <x:f>J103/C103</x:f>
        <x:v>36</x:v>
      </x:c>
    </x:row>
    <x:row r="104" spans="1:11" customFormat="1" ht="18" customHeight="1">
      <x:c r="A104" s="15" t="s">
        <x:v>149</x:v>
      </x:c>
      <x:c r="B104" s="14" t="s">
        <x:v>143</x:v>
      </x:c>
      <x:c r="C104" s="1">
        <x:v>1</x:v>
      </x:c>
      <x:c r="D104" s="14" t="s">
        <x:v>70</x:v>
      </x:c>
      <x:c r="E104" s="1" t="s">
        <x:v>289</x:v>
      </x:c>
      <x:c r="F104" s="1">
        <x:v>24</x:v>
      </x:c>
      <x:c r="G104" s="1">
        <x:f>H15</x:f>
        <x:v>0</x:v>
      </x:c>
      <x:c r="H104" s="1"/>
      <x:c r="I104" s="1"/>
      <x:c r="J104" s="12">
        <x:f>F104+I104-G104-H104</x:f>
        <x:v>24</x:v>
      </x:c>
      <x:c r="K104" s="13">
        <x:f>J104/C104</x:f>
        <x:v>24</x:v>
      </x:c>
    </x:row>
    <x:row r="105" spans="1:11" customFormat="1" ht="18" customHeight="1">
      <x:c r="A105" s="15" t="s">
        <x:v>149</x:v>
      </x:c>
      <x:c r="B105" s="14" t="s">
        <x:v>143</x:v>
      </x:c>
      <x:c r="C105" s="1">
        <x:v>1</x:v>
      </x:c>
      <x:c r="D105" s="14" t="s">
        <x:v>70</x:v>
      </x:c>
      <x:c r="E105" s="6" t="s">
        <x:v>162</x:v>
      </x:c>
      <x:c r="F105" s="1">
        <x:v>24</x:v>
      </x:c>
      <x:c r="G105" s="1">
        <x:f>H15</x:f>
        <x:v>0</x:v>
      </x:c>
      <x:c r="H105" s="1"/>
      <x:c r="I105" s="1"/>
      <x:c r="J105" s="12">
        <x:f>F105+I105-G105-H105</x:f>
        <x:v>24</x:v>
      </x:c>
      <x:c r="K105" s="13">
        <x:f>J105/C105</x:f>
        <x:v>24</x:v>
      </x:c>
    </x:row>
    <x:row r="106" spans="1:11" customFormat="1" ht="18" customHeight="1">
      <x:c r="A106" s="15" t="s">
        <x:v>149</x:v>
      </x:c>
      <x:c r="B106" s="14" t="s">
        <x:v>137</x:v>
      </x:c>
      <x:c r="C106" s="1">
        <x:v>1</x:v>
      </x:c>
      <x:c r="D106" s="14" t="s">
        <x:v>83</x:v>
      </x:c>
      <x:c r="E106" s="1" t="s">
        <x:v>289</x:v>
      </x:c>
      <x:c r="F106" s="1">
        <x:v>0</x:v>
      </x:c>
      <x:c r="G106" s="1">
        <x:f>J4</x:f>
        <x:v>0</x:v>
      </x:c>
      <x:c r="H106" s="1"/>
      <x:c r="I106" s="1"/>
      <x:c r="J106" s="12">
        <x:f>F106+I106-G106-H106</x:f>
        <x:v>0</x:v>
      </x:c>
      <x:c r="K106" s="13">
        <x:f>J106/C106</x:f>
        <x:v>0</x:v>
      </x:c>
    </x:row>
    <x:row r="107" spans="1:11" customFormat="1" ht="18" customHeight="1">
      <x:c r="A107" s="15" t="s">
        <x:v>149</x:v>
      </x:c>
      <x:c r="B107" s="14" t="s">
        <x:v>137</x:v>
      </x:c>
      <x:c r="C107" s="1">
        <x:v>1</x:v>
      </x:c>
      <x:c r="D107" s="14" t="s">
        <x:v>83</x:v>
      </x:c>
      <x:c r="E107" s="6" t="s">
        <x:v>162</x:v>
      </x:c>
      <x:c r="F107" s="1">
        <x:v>0</x:v>
      </x:c>
      <x:c r="G107" s="1">
        <x:f>J4</x:f>
        <x:v>0</x:v>
      </x:c>
      <x:c r="H107" s="1"/>
      <x:c r="I107" s="1"/>
      <x:c r="J107" s="12">
        <x:f>F107+I107-G107-H107</x:f>
        <x:v>0</x:v>
      </x:c>
      <x:c r="K107" s="13">
        <x:f>J107/C107</x:f>
        <x:v>0</x:v>
      </x:c>
    </x:row>
    <x:row r="108" spans="1:11" customFormat="1" ht="18" customHeight="1">
      <x:c r="A108" s="15" t="s">
        <x:v>149</x:v>
      </x:c>
      <x:c r="B108" s="14" t="s">
        <x:v>137</x:v>
      </x:c>
      <x:c r="C108" s="1">
        <x:v>1</x:v>
      </x:c>
      <x:c r="D108" s="14" t="s">
        <x:v>41</x:v>
      </x:c>
      <x:c r="E108" s="1" t="s">
        <x:v>289</x:v>
      </x:c>
      <x:c r="F108" s="1">
        <x:v>0</x:v>
      </x:c>
      <x:c r="G108" s="1">
        <x:f>J5</x:f>
        <x:v>0</x:v>
      </x:c>
      <x:c r="H108" s="1"/>
      <x:c r="I108" s="1"/>
      <x:c r="J108" s="12">
        <x:f>F108+I108-G108-H108</x:f>
        <x:v>0</x:v>
      </x:c>
      <x:c r="K108" s="13">
        <x:f>J108/C108</x:f>
        <x:v>0</x:v>
      </x:c>
    </x:row>
    <x:row r="109" spans="1:11" customFormat="1" ht="18" customHeight="1">
      <x:c r="A109" s="15" t="s">
        <x:v>149</x:v>
      </x:c>
      <x:c r="B109" s="14" t="s">
        <x:v>137</x:v>
      </x:c>
      <x:c r="C109" s="1">
        <x:v>1</x:v>
      </x:c>
      <x:c r="D109" s="14" t="s">
        <x:v>41</x:v>
      </x:c>
      <x:c r="E109" s="6" t="s">
        <x:v>162</x:v>
      </x:c>
      <x:c r="F109" s="1">
        <x:v>0</x:v>
      </x:c>
      <x:c r="G109" s="1">
        <x:f>J5</x:f>
        <x:v>0</x:v>
      </x:c>
      <x:c r="H109" s="1"/>
      <x:c r="I109" s="1"/>
      <x:c r="J109" s="12">
        <x:f>F109+I109-G109-H109</x:f>
        <x:v>0</x:v>
      </x:c>
      <x:c r="K109" s="13">
        <x:f>J109/C109</x:f>
        <x:v>0</x:v>
      </x:c>
    </x:row>
    <x:row r="110" spans="1:11" customFormat="1" ht="18" customHeight="1">
      <x:c r="A110" s="15" t="s">
        <x:v>149</x:v>
      </x:c>
      <x:c r="B110" s="14" t="s">
        <x:v>143</x:v>
      </x:c>
      <x:c r="C110" s="1">
        <x:v>1</x:v>
      </x:c>
      <x:c r="D110" s="14" t="s">
        <x:v>47</x:v>
      </x:c>
      <x:c r="E110" s="1" t="s">
        <x:v>289</x:v>
      </x:c>
      <x:c r="F110" s="1">
        <x:v>9</x:v>
      </x:c>
      <x:c r="G110" s="1">
        <x:f>J6</x:f>
        <x:v>0</x:v>
      </x:c>
      <x:c r="H110" s="1"/>
      <x:c r="I110" s="1"/>
      <x:c r="J110" s="12">
        <x:f>F110+I110-G110-H110</x:f>
        <x:v>9</x:v>
      </x:c>
      <x:c r="K110" s="13">
        <x:f>J110/C110</x:f>
        <x:v>9</x:v>
      </x:c>
    </x:row>
    <x:row r="111" spans="1:11" customFormat="1" ht="18" customHeight="1">
      <x:c r="A111" s="15" t="s">
        <x:v>149</x:v>
      </x:c>
      <x:c r="B111" s="14" t="s">
        <x:v>143</x:v>
      </x:c>
      <x:c r="C111" s="1">
        <x:v>1</x:v>
      </x:c>
      <x:c r="D111" s="14" t="s">
        <x:v>47</x:v>
      </x:c>
      <x:c r="E111" s="6" t="s">
        <x:v>162</x:v>
      </x:c>
      <x:c r="F111" s="1">
        <x:v>9</x:v>
      </x:c>
      <x:c r="G111" s="1">
        <x:f>J6</x:f>
        <x:v>0</x:v>
      </x:c>
      <x:c r="H111" s="1"/>
      <x:c r="I111" s="1"/>
      <x:c r="J111" s="12">
        <x:f>F111+I111-G111-H111</x:f>
        <x:v>9</x:v>
      </x:c>
      <x:c r="K111" s="13">
        <x:f>J111/C111</x:f>
        <x:v>9</x:v>
      </x:c>
    </x:row>
    <x:row r="112" spans="1:11" customFormat="1" ht="18" customHeight="1">
      <x:c r="A112" s="15" t="s">
        <x:v>149</x:v>
      </x:c>
      <x:c r="B112" s="14" t="s">
        <x:v>143</x:v>
      </x:c>
      <x:c r="C112" s="1">
        <x:v>1</x:v>
      </x:c>
      <x:c r="D112" s="14" t="s">
        <x:v>73</x:v>
      </x:c>
      <x:c r="E112" s="1" t="s">
        <x:v>289</x:v>
      </x:c>
      <x:c r="F112" s="1">
        <x:v>7</x:v>
      </x:c>
      <x:c r="G112" s="1">
        <x:f>J7</x:f>
        <x:v>0</x:v>
      </x:c>
      <x:c r="H112" s="1"/>
      <x:c r="I112" s="1"/>
      <x:c r="J112" s="12">
        <x:f>F112+I112-G112-H112</x:f>
        <x:v>7</x:v>
      </x:c>
      <x:c r="K112" s="13">
        <x:f>J112/C112</x:f>
        <x:v>7</x:v>
      </x:c>
    </x:row>
    <x:row r="113" spans="1:11" customFormat="1" ht="18" customHeight="1">
      <x:c r="A113" s="15" t="s">
        <x:v>149</x:v>
      </x:c>
      <x:c r="B113" s="14" t="s">
        <x:v>143</x:v>
      </x:c>
      <x:c r="C113" s="1">
        <x:v>1</x:v>
      </x:c>
      <x:c r="D113" s="14" t="s">
        <x:v>73</x:v>
      </x:c>
      <x:c r="E113" s="6" t="s">
        <x:v>162</x:v>
      </x:c>
      <x:c r="F113" s="1">
        <x:v>7</x:v>
      </x:c>
      <x:c r="G113" s="1">
        <x:f>J7</x:f>
        <x:v>0</x:v>
      </x:c>
      <x:c r="H113" s="1"/>
      <x:c r="I113" s="1"/>
      <x:c r="J113" s="12">
        <x:f>F113+I113-G113-H113</x:f>
        <x:v>7</x:v>
      </x:c>
      <x:c r="K113" s="13">
        <x:f>J113/C113</x:f>
        <x:v>7</x:v>
      </x:c>
    </x:row>
    <x:row r="114" spans="1:11" customHeight="1">
      <x:c r="A114" s="15" t="s">
        <x:v>163</x:v>
      </x:c>
      <x:c r="B114" s="14" t="s">
        <x:v>143</x:v>
      </x:c>
      <x:c r="C114" s="2">
        <x:v>16</x:v>
      </x:c>
      <x:c r="D114" s="9" t="s">
        <x:v>241</x:v>
      </x:c>
      <x:c r="E114" s="1" t="s">
        <x:v>35</x:v>
      </x:c>
      <x:c r="F114" s="1">
        <x:v>916</x:v>
      </x:c>
      <x:c r="G114" s="1">
        <x:f>SUM(H4:H11)*16+SUM(H12:H14)*8</x:f>
        <x:v>0</x:v>
      </x:c>
      <x:c r="J114" s="12">
        <x:f>F114+I114-G114-H114</x:f>
        <x:v>916</x:v>
      </x:c>
      <x:c r="K114" s="13">
        <x:f>J114/C114</x:f>
        <x:v>57.25</x:v>
      </x:c>
    </x:row>
    <x:row r="115" spans="1:11">
      <x:c r="A115" s="15" t="s">
        <x:v>163</x:v>
      </x:c>
      <x:c r="B115" s="14" t="s">
        <x:v>143</x:v>
      </x:c>
      <x:c r="C115" s="2">
        <x:v>8</x:v>
      </x:c>
      <x:c r="D115" s="9" t="s">
        <x:v>241</x:v>
      </x:c>
      <x:c r="E115" s="1" t="s">
        <x:v>54</x:v>
      </x:c>
      <x:c r="F115" s="1">
        <x:v>1190</x:v>
      </x:c>
      <x:c r="G115" s="1">
        <x:f>SUM(H4:H11)*8+SUM(H12:H14)*8</x:f>
        <x:v>0</x:v>
      </x:c>
      <x:c r="J115" s="12">
        <x:f>F115+I115-G115-H115</x:f>
        <x:v>1190</x:v>
      </x:c>
      <x:c r="K115" s="13">
        <x:f>J115/C115</x:f>
        <x:v>148.75</x:v>
      </x:c>
    </x:row>
    <x:row r="116" spans="1:11">
      <x:c r="A116" s="15" t="s">
        <x:v>163</x:v>
      </x:c>
      <x:c r="B116" s="14" t="s">
        <x:v>143</x:v>
      </x:c>
      <x:c r="C116" s="2">
        <x:v>8</x:v>
      </x:c>
      <x:c r="D116" s="9" t="s">
        <x:v>70</x:v>
      </x:c>
      <x:c r="E116" s="1" t="s">
        <x:v>20</x:v>
      </x:c>
      <x:c r="F116" s="1">
        <x:v>740</x:v>
      </x:c>
      <x:c r="G116" s="1">
        <x:f>SUM(H15)*C116</x:f>
        <x:v>0</x:v>
      </x:c>
      <x:c r="J116" s="12">
        <x:f>F116+I116-G116-H116</x:f>
        <x:v>740</x:v>
      </x:c>
      <x:c r="K116" s="13">
        <x:f>J116/C116</x:f>
        <x:v>92.5</x:v>
      </x:c>
    </x:row>
    <x:row r="117" spans="1:11">
      <x:c r="A117" s="15" t="s">
        <x:v>163</x:v>
      </x:c>
      <x:c r="B117" s="14" t="s">
        <x:v>143</x:v>
      </x:c>
      <x:c r="C117" s="2">
        <x:v>4</x:v>
      </x:c>
      <x:c r="D117" s="9" t="s">
        <x:v>239</x:v>
      </x:c>
      <x:c r="E117" s="1" t="s">
        <x:v>58</x:v>
      </x:c>
      <x:c r="F117" s="1">
        <x:v>130</x:v>
      </x:c>
      <x:c r="G117" s="1">
        <x:f>SUM(H12:H14)*C117</x:f>
        <x:v>0</x:v>
      </x:c>
      <x:c r="J117" s="12">
        <x:f>F117+I117-G117-H117</x:f>
        <x:v>130</x:v>
      </x:c>
      <x:c r="K117" s="13">
        <x:f>J117/C117</x:f>
        <x:v>32.5</x:v>
      </x:c>
    </x:row>
    <x:row r="118" spans="1:11">
      <x:c r="A118" s="15" t="s">
        <x:v>163</x:v>
      </x:c>
      <x:c r="B118" s="14" t="s">
        <x:v>143</x:v>
      </x:c>
      <x:c r="C118" s="2">
        <x:v>8</x:v>
      </x:c>
      <x:c r="D118" s="9" t="s">
        <x:v>70</x:v>
      </x:c>
      <x:c r="E118" s="1" t="s">
        <x:v>77</x:v>
      </x:c>
      <x:c r="F118" s="1">
        <x:v>440</x:v>
      </x:c>
      <x:c r="G118" s="1">
        <x:f>H15*8</x:f>
        <x:v>0</x:v>
      </x:c>
      <x:c r="J118" s="12">
        <x:f>F118+I118-G118-H118</x:f>
        <x:v>440</x:v>
      </x:c>
      <x:c r="K118" s="13">
        <x:f>J118/C118</x:f>
        <x:v>55</x:v>
      </x:c>
    </x:row>
    <x:row r="119" spans="1:11">
      <x:c r="A119" s="15" t="s">
        <x:v>163</x:v>
      </x:c>
      <x:c r="B119" s="14" t="s">
        <x:v>143</x:v>
      </x:c>
      <x:c r="C119" s="2">
        <x:v>8</x:v>
      </x:c>
      <x:c r="D119" s="9" t="s">
        <x:v>277</x:v>
      </x:c>
      <x:c r="E119" s="1" t="s">
        <x:v>28</x:v>
      </x:c>
      <x:c r="F119" s="1">
        <x:v>465</x:v>
      </x:c>
      <x:c r="G119" s="1">
        <x:f>SUM(H15,J7)*C119</x:f>
        <x:v>0</x:v>
      </x:c>
      <x:c r="J119" s="12">
        <x:f>F119+I119-G119-H119</x:f>
        <x:v>465</x:v>
      </x:c>
      <x:c r="K119" s="13">
        <x:f>J119/C119</x:f>
        <x:v>58.125</x:v>
      </x:c>
    </x:row>
    <x:row r="120" spans="1:11">
      <x:c r="A120" s="15" t="s">
        <x:v>163</x:v>
      </x:c>
      <x:c r="B120" s="14" t="s">
        <x:v>143</x:v>
      </x:c>
      <x:c r="C120" s="2">
        <x:v>8</x:v>
      </x:c>
      <x:c r="D120" s="9" t="s">
        <x:v>24</x:v>
      </x:c>
      <x:c r="E120" s="1" t="s">
        <x:v>46</x:v>
      </x:c>
      <x:c r="F120" s="1">
        <x:v>107</x:v>
      </x:c>
      <x:c r="G120" s="1">
        <x:f>J6*C120</x:f>
        <x:v>0</x:v>
      </x:c>
      <x:c r="J120" s="12">
        <x:f>F120+I120-G120-H120</x:f>
        <x:v>107</x:v>
      </x:c>
      <x:c r="K120" s="13">
        <x:f>J120/C120</x:f>
        <x:v>13.375</x:v>
      </x:c>
    </x:row>
    <x:row r="121" spans="1:11">
      <x:c r="A121" s="15" t="s">
        <x:v>163</x:v>
      </x:c>
      <x:c r="B121" s="14" t="s">
        <x:v>143</x:v>
      </x:c>
      <x:c r="C121" s="2">
        <x:v>4</x:v>
      </x:c>
      <x:c r="D121" s="9" t="s">
        <x:v>275</x:v>
      </x:c>
      <x:c r="E121" s="1" t="s">
        <x:v>42</x:v>
      </x:c>
      <x:c r="F121" s="1">
        <x:v>130</x:v>
      </x:c>
      <x:c r="G121" s="1">
        <x:f>SUM(J6:J7)*C121</x:f>
        <x:v>0</x:v>
      </x:c>
      <x:c r="J121" s="12">
        <x:f>F121+I121-G121-H121</x:f>
        <x:v>130</x:v>
      </x:c>
      <x:c r="K121" s="13">
        <x:f>J121/C121</x:f>
        <x:v>32.5</x:v>
      </x:c>
    </x:row>
    <x:row r="122" spans="1:11" customHeight="1">
      <x:c r="A122" s="15" t="s">
        <x:v>163</x:v>
      </x:c>
      <x:c r="B122" s="14" t="s">
        <x:v>137</x:v>
      </x:c>
      <x:c r="C122" s="2">
        <x:v>4</x:v>
      </x:c>
      <x:c r="D122" s="9" t="s">
        <x:v>83</x:v>
      </x:c>
      <x:c r="E122" s="1" t="s">
        <x:v>208</x:v>
      </x:c>
      <x:c r="F122" s="1">
        <x:v>110</x:v>
      </x:c>
      <x:c r="G122" s="1">
        <x:f>J4*C122</x:f>
        <x:v>0</x:v>
      </x:c>
      <x:c r="J122" s="12">
        <x:f>F122+I122-G122-H122</x:f>
        <x:v>110</x:v>
      </x:c>
      <x:c r="K122" s="13">
        <x:f>J122/C122</x:f>
        <x:v>27.5</x:v>
      </x:c>
    </x:row>
    <x:row r="123" spans="1:11">
      <x:c r="A123" s="15" t="s">
        <x:v>163</x:v>
      </x:c>
      <x:c r="B123" s="14" t="s">
        <x:v>137</x:v>
      </x:c>
      <x:c r="C123" s="2">
        <x:v>8</x:v>
      </x:c>
      <x:c r="D123" s="9" t="s">
        <x:v>83</x:v>
      </x:c>
      <x:c r="E123" s="1" t="s">
        <x:v>167</x:v>
      </x:c>
      <x:c r="F123" s="1">
        <x:v>70</x:v>
      </x:c>
      <x:c r="G123" s="1">
        <x:f>J4*C123</x:f>
        <x:v>0</x:v>
      </x:c>
      <x:c r="J123" s="12">
        <x:f>F123+I123-G123-H123</x:f>
        <x:v>70</x:v>
      </x:c>
      <x:c r="K123" s="13">
        <x:f>J123/C123</x:f>
        <x:v>8.75</x:v>
      </x:c>
    </x:row>
    <x:row r="124" spans="1:11" customFormat="1">
      <x:c r="A124" s="15" t="s">
        <x:v>163</x:v>
      </x:c>
      <x:c r="B124" s="14" t="s">
        <x:v>137</x:v>
      </x:c>
      <x:c r="C124" s="2">
        <x:v>4</x:v>
      </x:c>
      <x:c r="D124" s="9" t="s">
        <x:v>41</x:v>
      </x:c>
      <x:c r="E124" s="1" t="s">
        <x:v>168</x:v>
      </x:c>
      <x:c r="F124" s="1">
        <x:v>64</x:v>
      </x:c>
      <x:c r="G124" s="1">
        <x:f>J5*F124</x:f>
        <x:v>0</x:v>
      </x:c>
      <x:c r="H124" s="1"/>
      <x:c r="I124" s="1"/>
      <x:c r="J124" s="12">
        <x:f>F124+I124-G124-H124</x:f>
        <x:v>64</x:v>
      </x:c>
      <x:c r="K124" s="13">
        <x:f>J124/C124</x:f>
        <x:v>16</x:v>
      </x:c>
    </x:row>
    <x:row r="125" spans="1:11" customFormat="1">
      <x:c r="A125" s="15" t="s">
        <x:v>163</x:v>
      </x:c>
      <x:c r="B125" s="14" t="s">
        <x:v>137</x:v>
      </x:c>
      <x:c r="C125" s="2">
        <x:v>8</x:v>
      </x:c>
      <x:c r="D125" s="9" t="s">
        <x:v>41</x:v>
      </x:c>
      <x:c r="E125" s="1" t="s">
        <x:v>139</x:v>
      </x:c>
      <x:c r="F125" s="1">
        <x:v>49</x:v>
      </x:c>
      <x:c r="G125" s="1">
        <x:f>J5*C125</x:f>
        <x:v>0</x:v>
      </x:c>
      <x:c r="H125" s="1"/>
      <x:c r="I125" s="1"/>
      <x:c r="J125" s="12">
        <x:f>F125+I125-G125-H125</x:f>
        <x:v>49</x:v>
      </x:c>
      <x:c r="K125" s="13">
        <x:f>J125/C125</x:f>
        <x:v>6.125</x:v>
      </x:c>
    </x:row>
    <x:row r="126" spans="1:11">
      <x:c r="A126" s="11" t="s">
        <x:v>290</x:v>
      </x:c>
      <x:c r="B126" s="9" t="s">
        <x:v>143</x:v>
      </x:c>
      <x:c r="C126" s="1">
        <x:v>12</x:v>
      </x:c>
      <x:c r="D126" s="9" t="s">
        <x:v>250</x:v>
      </x:c>
      <x:c r="E126" s="1" t="s">
        <x:v>205</x:v>
      </x:c>
      <x:c r="F126" s="1">
        <x:v>4000</x:v>
      </x:c>
      <x:c r="G126" s="1">
        <x:f>SUM(H4:H11)*C126</x:f>
        <x:v>0</x:v>
      </x:c>
      <x:c r="J126" s="12">
        <x:f>F126+I126-G126-H126</x:f>
        <x:v>4000</x:v>
      </x:c>
      <x:c r="K126" s="13">
        <x:f>J126/C126</x:f>
        <x:v>333.33333333333331</x:v>
      </x:c>
    </x:row>
    <x:row r="127" spans="1:11">
      <x:c r="A127" s="11" t="s">
        <x:v>290</x:v>
      </x:c>
      <x:c r="B127" s="9" t="s">
        <x:v>143</x:v>
      </x:c>
      <x:c r="C127" s="1">
        <x:v>12</x:v>
      </x:c>
      <x:c r="D127" s="9" t="s">
        <x:v>239</x:v>
      </x:c>
      <x:c r="E127" s="1" t="s">
        <x:v>178</x:v>
      </x:c>
      <x:c r="F127" s="1">
        <x:v>640</x:v>
      </x:c>
      <x:c r="G127" s="1">
        <x:f>SUM(H12:H14)*C127</x:f>
        <x:v>0</x:v>
      </x:c>
      <x:c r="J127" s="12">
        <x:f>F127+I127-G127-H127</x:f>
        <x:v>640</x:v>
      </x:c>
      <x:c r="K127" s="13">
        <x:f>J127/C127</x:f>
        <x:v>53.333333333333336</x:v>
      </x:c>
    </x:row>
    <x:row r="128" spans="1:11">
      <x:c r="A128" s="11" t="s">
        <x:v>290</x:v>
      </x:c>
      <x:c r="B128" s="9" t="s">
        <x:v>143</x:v>
      </x:c>
      <x:c r="C128" s="1">
        <x:v>20</x:v>
      </x:c>
      <x:c r="D128" s="9" t="s">
        <x:v>233</x:v>
      </x:c>
      <x:c r="E128" s="1" t="s">
        <x:v>222</x:v>
      </x:c>
      <x:c r="F128" s="1">
        <x:v>2100</x:v>
      </x:c>
      <x:c r="G128" s="1">
        <x:f>SUM(H4:H11)*24+SUM(H12:H14)*16+H15*12</x:f>
        <x:v>0</x:v>
      </x:c>
      <x:c r="J128" s="12">
        <x:f>F128+I128-G128-H128</x:f>
        <x:v>2100</x:v>
      </x:c>
      <x:c r="K128" s="13">
        <x:f>J128/C128</x:f>
        <x:v>105</x:v>
      </x:c>
    </x:row>
    <x:row r="129" spans="1:11">
      <x:c r="A129" s="11" t="s">
        <x:v>290</x:v>
      </x:c>
      <x:c r="B129" s="9" t="s">
        <x:v>143</x:v>
      </x:c>
      <x:c r="C129" s="1">
        <x:v>16</x:v>
      </x:c>
      <x:c r="D129" s="9" t="s">
        <x:v>248</x:v>
      </x:c>
      <x:c r="E129" s="1" t="s">
        <x:v>169</x:v>
      </x:c>
      <x:c r="F129" s="1">
        <x:v>1150</x:v>
      </x:c>
      <x:c r="G129" s="1">
        <x:f>SUM(H12:H14)*8+(H15*16)</x:f>
        <x:v>0</x:v>
      </x:c>
      <x:c r="J129" s="12">
        <x:f>F129+I129-G129-H129</x:f>
        <x:v>1150</x:v>
      </x:c>
      <x:c r="K129" s="13">
        <x:f>J129/C129</x:f>
        <x:v>71.875</x:v>
      </x:c>
    </x:row>
    <x:row r="130" spans="1:11">
      <x:c r="A130" s="11" t="s">
        <x:v>290</x:v>
      </x:c>
      <x:c r="B130" s="9" t="s">
        <x:v>143</x:v>
      </x:c>
      <x:c r="C130" s="1">
        <x:v>4</x:v>
      </x:c>
      <x:c r="D130" s="9" t="s">
        <x:v>70</x:v>
      </x:c>
      <x:c r="E130" s="1" t="s">
        <x:v>188</x:v>
      </x:c>
      <x:c r="F130" s="1">
        <x:v>900</x:v>
      </x:c>
      <x:c r="G130" s="1">
        <x:f>H15*C130</x:f>
        <x:v>0</x:v>
      </x:c>
      <x:c r="J130" s="12">
        <x:f>F130+I130-G130-H130</x:f>
        <x:v>900</x:v>
      </x:c>
      <x:c r="K130" s="13">
        <x:f>J130/C130</x:f>
        <x:v>225</x:v>
      </x:c>
    </x:row>
    <x:row r="131" spans="1:11">
      <x:c r="A131" s="11" t="s">
        <x:v>290</x:v>
      </x:c>
      <x:c r="B131" s="9" t="s">
        <x:v>143</x:v>
      </x:c>
      <x:c r="C131" s="1">
        <x:v>12</x:v>
      </x:c>
      <x:c r="D131" s="9" t="s">
        <x:v>275</x:v>
      </x:c>
      <x:c r="E131" s="1" t="s">
        <x:v>187</x:v>
      </x:c>
      <x:c r="F131" s="1">
        <x:v>340</x:v>
      </x:c>
      <x:c r="G131" s="1">
        <x:f>SUM(J6:J7)*C131</x:f>
        <x:v>0</x:v>
      </x:c>
      <x:c r="J131" s="12">
        <x:f>F131+I131-G131-H131</x:f>
        <x:v>340</x:v>
      </x:c>
      <x:c r="K131" s="13">
        <x:f>J131/C131</x:f>
        <x:v>28.333333333333332</x:v>
      </x:c>
    </x:row>
    <x:row r="132" spans="1:11">
      <x:c r="A132" s="11" t="s">
        <x:v>290</x:v>
      </x:c>
      <x:c r="B132" s="9" t="s">
        <x:v>137</x:v>
      </x:c>
      <x:c r="C132" s="1">
        <x:v>12</x:v>
      </x:c>
      <x:c r="D132" s="9" t="s">
        <x:v>83</x:v>
      </x:c>
      <x:c r="E132" s="1" t="s">
        <x:v>169</x:v>
      </x:c>
      <x:c r="F132" s="1">
        <x:v>320</x:v>
      </x:c>
      <x:c r="G132" s="1">
        <x:f>J4*C132</x:f>
        <x:v>0</x:v>
      </x:c>
      <x:c r="J132" s="12">
        <x:f>F132+I132-G132-H132</x:f>
        <x:v>320</x:v>
      </x:c>
      <x:c r="K132" s="13">
        <x:f>J132/C132</x:f>
        <x:v>26.666666666666668</x:v>
      </x:c>
    </x:row>
    <x:row r="133" spans="1:11">
      <x:c r="A133" s="11" t="s">
        <x:v>290</x:v>
      </x:c>
      <x:c r="B133" s="9" t="s">
        <x:v>137</x:v>
      </x:c>
      <x:c r="C133" s="1">
        <x:v>12</x:v>
      </x:c>
      <x:c r="D133" s="9" t="s">
        <x:v>41</x:v>
      </x:c>
      <x:c r="E133" s="1" t="s">
        <x:v>187</x:v>
      </x:c>
      <x:c r="F133" s="1">
        <x:v>120</x:v>
      </x:c>
      <x:c r="G133" s="1">
        <x:f>J5*C133</x:f>
        <x:v>0</x:v>
      </x:c>
      <x:c r="J133" s="12">
        <x:f>F133+I133-G133-H133</x:f>
        <x:v>120</x:v>
      </x:c>
      <x:c r="K133" s="13">
        <x:f>J133/C133</x:f>
        <x:v>10</x:v>
      </x:c>
    </x:row>
    <x:row r="134" spans="1:11">
      <x:c r="A134" s="11" t="s">
        <x:v>231</x:v>
      </x:c>
      <x:c r="B134" s="9" t="s">
        <x:v>143</x:v>
      </x:c>
      <x:c r="C134" s="1">
        <x:v>4</x:v>
      </x:c>
      <x:c r="D134" s="9" t="s">
        <x:v>250</x:v>
      </x:c>
      <x:c r="E134" s="1" t="s">
        <x:v>134</x:v>
      </x:c>
      <x:c r="F134" s="1">
        <x:v>2400</x:v>
      </x:c>
      <x:c r="G134" s="1">
        <x:f>SUM(H4:H11)*C134</x:f>
        <x:v>0</x:v>
      </x:c>
      <x:c r="J134" s="12">
        <x:f>F134+I134-G134-H134</x:f>
        <x:v>2400</x:v>
      </x:c>
      <x:c r="K134" s="13">
        <x:f>J134/C134</x:f>
        <x:v>600</x:v>
      </x:c>
    </x:row>
    <x:row r="135" spans="1:11">
      <x:c r="A135" s="11" t="s">
        <x:v>231</x:v>
      </x:c>
      <x:c r="B135" s="9" t="s">
        <x:v>143</x:v>
      </x:c>
      <x:c r="C135" s="1">
        <x:v>4</x:v>
      </x:c>
      <x:c r="D135" s="9" t="s">
        <x:v>239</x:v>
      </x:c>
      <x:c r="E135" s="1" t="s">
        <x:v>135</x:v>
      </x:c>
      <x:c r="F135" s="1">
        <x:v>1000</x:v>
      </x:c>
      <x:c r="G135" s="1">
        <x:f>SUM(H12:H14)*C135</x:f>
        <x:v>0</x:v>
      </x:c>
      <x:c r="J135" s="12">
        <x:f>F135+I135-G135-H135</x:f>
        <x:v>1000</x:v>
      </x:c>
      <x:c r="K135" s="13">
        <x:f>J135/C135</x:f>
        <x:v>250</x:v>
      </x:c>
    </x:row>
    <x:row r="136" spans="1:11">
      <x:c r="A136" s="11" t="s">
        <x:v>231</x:v>
      </x:c>
      <x:c r="B136" s="9" t="s">
        <x:v>143</x:v>
      </x:c>
      <x:c r="C136" s="1">
        <x:v>20</x:v>
      </x:c>
      <x:c r="D136" s="9" t="s">
        <x:v>233</x:v>
      </x:c>
      <x:c r="E136" s="1" t="s">
        <x:v>158</x:v>
      </x:c>
      <x:c r="F136" s="1">
        <x:v>2200</x:v>
      </x:c>
      <x:c r="G136" s="1">
        <x:f>SUM(H4:H11)*24+SUM(H12:H14)*16+SUM(H15)*4</x:f>
        <x:v>0</x:v>
      </x:c>
      <x:c r="J136" s="12">
        <x:f>F136+I136-G136-H136</x:f>
        <x:v>2200</x:v>
      </x:c>
      <x:c r="K136" s="13">
        <x:f>J136/C136</x:f>
        <x:v>110</x:v>
      </x:c>
    </x:row>
    <x:row r="137" spans="1:11">
      <x:c r="A137" s="11" t="s">
        <x:v>231</x:v>
      </x:c>
      <x:c r="B137" s="9" t="s">
        <x:v>143</x:v>
      </x:c>
      <x:c r="C137" s="1">
        <x:v>18</x:v>
      </x:c>
      <x:c r="D137" s="9" t="s">
        <x:v>248</x:v>
      </x:c>
      <x:c r="E137" s="1" t="s">
        <x:v>173</x:v>
      </x:c>
      <x:c r="F137" s="1">
        <x:v>1900</x:v>
      </x:c>
      <x:c r="G137" s="1">
        <x:f>SUM(H12:H14)*8+SUM(H15)*16</x:f>
        <x:v>0</x:v>
      </x:c>
      <x:c r="J137" s="12">
        <x:f>F137+I137-G137-H137</x:f>
        <x:v>1900</x:v>
      </x:c>
      <x:c r="K137" s="13">
        <x:f>J137/C137</x:f>
        <x:v>105.55555555555556</x:v>
      </x:c>
    </x:row>
    <x:row r="138" spans="1:11">
      <x:c r="A138" s="11" t="s">
        <x:v>231</x:v>
      </x:c>
      <x:c r="B138" s="9" t="s">
        <x:v>143</x:v>
      </x:c>
      <x:c r="C138" s="1">
        <x:v>8</x:v>
      </x:c>
      <x:c r="D138" s="9" t="s">
        <x:v>70</x:v>
      </x:c>
      <x:c r="E138" s="1" t="s">
        <x:v>184</x:v>
      </x:c>
      <x:c r="F138" s="1">
        <x:v>930</x:v>
      </x:c>
      <x:c r="G138" s="1">
        <x:f>H15*C138</x:f>
        <x:v>0</x:v>
      </x:c>
      <x:c r="J138" s="12">
        <x:f>F138+I138-G138-H138</x:f>
        <x:v>930</x:v>
      </x:c>
      <x:c r="K138" s="13">
        <x:f>J138/C138</x:f>
        <x:v>116.25</x:v>
      </x:c>
    </x:row>
    <x:row r="139" spans="1:11">
      <x:c r="A139" s="11" t="s">
        <x:v>14</x:v>
      </x:c>
      <x:c r="B139" s="9" t="s">
        <x:v>137</x:v>
      </x:c>
      <x:c r="C139" s="1">
        <x:v>14</x:v>
      </x:c>
      <x:c r="D139" s="9" t="s">
        <x:v>263</x:v>
      </x:c>
      <x:c r="E139" s="1" t="s">
        <x:v>166</x:v>
      </x:c>
      <x:c r="F139" s="1">
        <x:v>145</x:v>
      </x:c>
      <x:c r="G139" s="1">
        <x:f>SUM(J4)*12+SUM(J5)*16+SUM(J6)*16+SUM(J7)*8</x:f>
        <x:v>0</x:v>
      </x:c>
      <x:c r="J139" s="12">
        <x:f>F139+I139-G139-H139</x:f>
        <x:v>145</x:v>
      </x:c>
      <x:c r="K139" s="13">
        <x:f>J139/C139</x:f>
        <x:v>10.357142857142858</x:v>
      </x:c>
    </x:row>
    <x:row r="140" spans="1:11">
      <x:c r="A140" s="11" t="s">
        <x:v>14</x:v>
      </x:c>
      <x:c r="B140" s="9" t="s">
        <x:v>137</x:v>
      </x:c>
      <x:c r="C140" s="1">
        <x:v>4</x:v>
      </x:c>
      <x:c r="D140" s="9" t="s">
        <x:v>83</x:v>
      </x:c>
      <x:c r="E140" s="1" t="s">
        <x:v>170</x:v>
      </x:c>
      <x:c r="F140" s="1">
        <x:v>92</x:v>
      </x:c>
      <x:c r="G140" s="1">
        <x:f>J4*C140</x:f>
        <x:v>0</x:v>
      </x:c>
      <x:c r="J140" s="12">
        <x:f>F140+I140-G140-H140</x:f>
        <x:v>92</x:v>
      </x:c>
      <x:c r="K140" s="13">
        <x:f>J140/C140</x:f>
        <x:v>23</x:v>
      </x:c>
    </x:row>
    <x:row r="141" spans="1:11">
      <x:c r="A141" s="11" t="s">
        <x:v>14</x:v>
      </x:c>
      <x:c r="B141" s="9" t="s">
        <x:v>137</x:v>
      </x:c>
      <x:c r="C141" s="1">
        <x:v>8</x:v>
      </x:c>
      <x:c r="D141" s="9" t="s">
        <x:v>73</x:v>
      </x:c>
      <x:c r="E141" s="1" t="s">
        <x:v>153</x:v>
      </x:c>
      <x:c r="F141" s="1">
        <x:v>61</x:v>
      </x:c>
      <x:c r="G141" s="1">
        <x:f>J7*C141</x:f>
        <x:v>0</x:v>
      </x:c>
      <x:c r="J141" s="12">
        <x:f>F141+I141-G141-H141</x:f>
        <x:v>61</x:v>
      </x:c>
      <x:c r="K141" s="13">
        <x:f>J141/C141</x:f>
        <x:v>7.625</x:v>
      </x:c>
    </x:row>
  </x:sheetData>
  <x:autoFilter ref="A17:J141"/>
  <x:mergeCells count="1">
    <x:mergeCell ref="A8:E12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 filterMode="1"/>
  <x:dimension ref="A1:L141"/>
  <x:sheetViews>
    <x:sheetView topLeftCell="A1" zoomScaleNormal="100" workbookViewId="0">
      <x:selection activeCell="A1" activeCellId="0" sqref="A1:XFD1"/>
    </x:sheetView>
  </x:sheetViews>
  <x:sheetFormatPr defaultColWidth="9.00390625" defaultRowHeight="17.800000000000001"/>
  <x:cols>
    <x:col min="1" max="1" width="19" style="10" customWidth="1"/>
    <x:col min="2" max="2" width="12.375" style="1" customWidth="1"/>
    <x:col min="3" max="3" width="6" style="1" customWidth="1"/>
    <x:col min="4" max="4" width="25.625" style="2" customWidth="1"/>
    <x:col min="5" max="5" width="18.5" style="1" customWidth="1"/>
    <x:col min="6" max="6" width="10.125" style="1" customWidth="1"/>
    <x:col min="7" max="7" width="11.875" style="1" customWidth="1"/>
    <x:col min="8" max="8" width="12.52734375" style="1" bestFit="1" customWidth="1"/>
    <x:col min="9" max="9" width="13.25" style="1" customWidth="1"/>
    <x:col min="10" max="10" width="12.52734375" bestFit="1" customWidth="1"/>
    <x:col min="11" max="11" width="14.375" style="1" customWidth="1"/>
    <x:col min="13" max="13" width="10.625" customWidth="1"/>
  </x:cols>
  <x:sheetData>
    <x:row r="1" spans="1:11" customFormat="1">
      <x:c r="A1" s="10"/>
      <x:c r="B1" s="1"/>
      <x:c r="C1" s="1"/>
      <x:c r="D1" s="2"/>
      <x:c r="E1" s="1"/>
      <x:c r="F1" s="1"/>
      <x:c r="G1" s="16" t="s">
        <x:v>130</x:v>
      </x:c>
      <x:c r="H1" s="16" t="s">
        <x:v>142</x:v>
      </x:c>
      <x:c r="I1" s="16" t="s">
        <x:v>157</x:v>
      </x:c>
      <x:c r="J1" s="16" t="s">
        <x:v>142</x:v>
      </x:c>
      <x:c r="K1" s="1"/>
    </x:row>
    <x:row r="2" spans="1:11" customFormat="1">
      <x:c r="A2" s="10"/>
      <x:c r="B2" s="1"/>
      <x:c r="C2" s="1"/>
      <x:c r="D2" s="2"/>
      <x:c r="E2" s="1"/>
      <x:c r="F2" s="1"/>
      <x:c r="G2" s="16" t="s">
        <x:v>23</x:v>
      </x:c>
      <x:c r="H2" s="16"/>
      <x:c r="I2" s="16"/>
      <x:c r="J2" s="16"/>
      <x:c r="K2" s="1"/>
    </x:row>
    <x:row r="3" spans="1:11" customFormat="1">
      <x:c r="A3" s="10"/>
      <x:c r="B3" s="1"/>
      <x:c r="C3" s="1"/>
      <x:c r="D3" s="2"/>
      <x:c r="E3" s="1"/>
      <x:c r="F3" s="1"/>
      <x:c r="G3" s="16" t="s">
        <x:v>94</x:v>
      </x:c>
      <x:c r="H3" s="16"/>
      <x:c r="I3" s="16"/>
      <x:c r="J3" s="16"/>
      <x:c r="K3" s="1"/>
    </x:row>
    <x:row r="4" spans="1:11" customFormat="1">
      <x:c r="A4" s="10"/>
      <x:c r="B4" s="1"/>
      <x:c r="C4" s="1"/>
      <x:c r="D4" s="2"/>
      <x:c r="E4" s="1"/>
      <x:c r="F4" s="1"/>
      <x:c r="G4" s="16" t="s">
        <x:v>27</x:v>
      </x:c>
      <x:c r="H4" s="16"/>
      <x:c r="I4" s="16" t="s">
        <x:v>83</x:v>
      </x:c>
      <x:c r="J4" s="16"/>
      <x:c r="K4" s="1"/>
    </x:row>
    <x:row r="5" spans="1:11" customFormat="1">
      <x:c r="A5" s="10"/>
      <x:c r="B5" s="1"/>
      <x:c r="C5" s="1"/>
      <x:c r="D5" s="2"/>
      <x:c r="E5" s="1"/>
      <x:c r="F5" s="1"/>
      <x:c r="G5" s="16" t="s">
        <x:v>36</x:v>
      </x:c>
      <x:c r="H5" s="16"/>
      <x:c r="I5" s="16" t="s">
        <x:v>41</x:v>
      </x:c>
      <x:c r="J5" s="16"/>
      <x:c r="K5" s="1"/>
    </x:row>
    <x:row r="6" spans="1:11" customFormat="1">
      <x:c r="A6" s="10"/>
      <x:c r="B6" s="1"/>
      <x:c r="C6" s="1"/>
      <x:c r="D6" s="2"/>
      <x:c r="E6" s="1"/>
      <x:c r="F6" s="1"/>
      <x:c r="G6" s="16" t="s">
        <x:v>55</x:v>
      </x:c>
      <x:c r="H6" s="16"/>
      <x:c r="I6" s="16" t="s">
        <x:v>47</x:v>
      </x:c>
      <x:c r="J6" s="16"/>
      <x:c r="K6" s="1"/>
    </x:row>
    <x:row r="7" spans="1:11" customFormat="1">
      <x:c r="A7" s="10"/>
      <x:c r="B7" s="1"/>
      <x:c r="C7" s="1"/>
      <x:c r="D7" s="2"/>
      <x:c r="E7" s="1"/>
      <x:c r="F7" s="1"/>
      <x:c r="G7" s="16" t="s">
        <x:v>44</x:v>
      </x:c>
      <x:c r="H7" s="16"/>
      <x:c r="I7" s="16" t="s">
        <x:v>73</x:v>
      </x:c>
      <x:c r="J7" s="16">
        <x:v>2</x:v>
      </x:c>
      <x:c r="K7" s="1"/>
    </x:row>
    <x:row r="8" spans="1:11" customFormat="1" ht="16.399999999999999">
      <x:c r="A8" s="66" t="s">
        <x:v>12</x:v>
      </x:c>
      <x:c r="B8" s="66"/>
      <x:c r="C8" s="66"/>
      <x:c r="D8" s="66"/>
      <x:c r="E8" s="66"/>
      <x:c r="F8" s="1"/>
      <x:c r="G8" s="16" t="s">
        <x:v>76</x:v>
      </x:c>
      <x:c r="H8" s="16"/>
      <x:c r="I8" s="16"/>
      <x:c r="J8" s="16"/>
      <x:c r="K8" s="1"/>
    </x:row>
    <x:row r="9" spans="1:11" customFormat="1" ht="16.399999999999999">
      <x:c r="A9" s="66"/>
      <x:c r="B9" s="66"/>
      <x:c r="C9" s="66"/>
      <x:c r="D9" s="66"/>
      <x:c r="E9" s="66"/>
      <x:c r="F9" s="1"/>
      <x:c r="G9" s="16" t="s">
        <x:v>33</x:v>
      </x:c>
      <x:c r="H9" s="16"/>
      <x:c r="I9" s="16"/>
      <x:c r="J9" s="16"/>
      <x:c r="K9" s="1"/>
    </x:row>
    <x:row r="10" spans="1:11" customFormat="1" ht="16.399999999999999">
      <x:c r="A10" s="66"/>
      <x:c r="B10" s="66"/>
      <x:c r="C10" s="66"/>
      <x:c r="D10" s="66"/>
      <x:c r="E10" s="66"/>
      <x:c r="F10" s="1"/>
      <x:c r="G10" s="16" t="s">
        <x:v>43</x:v>
      </x:c>
      <x:c r="H10" s="16"/>
      <x:c r="I10" s="16"/>
      <x:c r="J10" s="16"/>
      <x:c r="K10" s="1"/>
    </x:row>
    <x:row r="11" spans="1:10" ht="16.399999999999999">
      <x:c r="A11" s="66"/>
      <x:c r="B11" s="66"/>
      <x:c r="C11" s="66"/>
      <x:c r="D11" s="66"/>
      <x:c r="E11" s="66"/>
      <x:c r="G11" s="16" t="s">
        <x:v>21</x:v>
      </x:c>
      <x:c r="H11" s="16"/>
      <x:c r="I11" s="16"/>
      <x:c r="J11" s="16"/>
    </x:row>
    <x:row r="12" spans="1:10" ht="16.399999999999999">
      <x:c r="A12" s="66"/>
      <x:c r="B12" s="66"/>
      <x:c r="C12" s="66"/>
      <x:c r="D12" s="66"/>
      <x:c r="E12" s="66"/>
      <x:c r="G12" s="16" t="s">
        <x:v>80</x:v>
      </x:c>
      <x:c r="H12" s="16"/>
      <x:c r="I12" s="16"/>
      <x:c r="J12" s="16"/>
    </x:row>
    <x:row r="13" spans="7:10">
      <x:c r="G13" s="16" t="s">
        <x:v>31</x:v>
      </x:c>
      <x:c r="H13" s="16"/>
      <x:c r="I13" s="16"/>
      <x:c r="J13" s="16"/>
    </x:row>
    <x:row r="14" spans="7:10">
      <x:c r="G14" s="16" t="s">
        <x:v>124</x:v>
      </x:c>
      <x:c r="H14" s="16"/>
      <x:c r="I14" s="16"/>
      <x:c r="J14" s="16"/>
    </x:row>
    <x:row r="15" spans="7:10">
      <x:c r="G15" s="16" t="s">
        <x:v>70</x:v>
      </x:c>
      <x:c r="H15" s="16"/>
      <x:c r="I15" s="16"/>
      <x:c r="J15" s="16"/>
    </x:row>
    <x:row r="17" spans="1:12" s="8" customFormat="1" ht="29.25" customHeight="1">
      <x:c r="A17" s="11" t="s">
        <x:v>279</x:v>
      </x:c>
      <x:c r="B17" s="9" t="s">
        <x:v>287</x:v>
      </x:c>
      <x:c r="C17" s="9" t="s">
        <x:v>285</x:v>
      </x:c>
      <x:c r="D17" s="9" t="s">
        <x:v>171</x:v>
      </x:c>
      <x:c r="E17" s="9" t="s">
        <x:v>123</x:v>
      </x:c>
      <x:c r="F17" s="9" t="s">
        <x:v>127</x:v>
      </x:c>
      <x:c r="G17" s="9" t="s">
        <x:v>151</x:v>
      </x:c>
      <x:c r="H17" s="9" t="s">
        <x:v>128</x:v>
      </x:c>
      <x:c r="I17" s="9" t="s">
        <x:v>155</x:v>
      </x:c>
      <x:c r="J17" s="9" t="s">
        <x:v>154</x:v>
      </x:c>
      <x:c r="K17" s="9" t="s">
        <x:v>147</x:v>
      </x:c>
      <x:c r="L17" s="9" t="s">
        <x:v>286</x:v>
      </x:c>
    </x:row>
    <x:row r="18" spans="1:11" ht="18" customHeight="1">
      <x:c r="A18" s="15" t="s">
        <x:v>281</x:v>
      </x:c>
      <x:c r="B18" s="14" t="s">
        <x:v>165</x:v>
      </x:c>
      <x:c r="C18" s="6">
        <x:v>2</x:v>
      </x:c>
      <x:c r="D18" s="14" t="s">
        <x:v>268</x:v>
      </x:c>
      <x:c r="E18" s="1" t="s">
        <x:v>32</x:v>
      </x:c>
      <x:c r="F18" s="7">
        <x:f>'2026.9.3'!J18</x:f>
        <x:v>310</x:v>
      </x:c>
      <x:c r="G18" s="6">
        <x:f>SUM(H4:H14)*C18</x:f>
        <x:v>0</x:v>
      </x:c>
      <x:c r="H18" s="6"/>
      <x:c r="I18" s="6"/>
      <x:c r="J18" s="12">
        <x:f>F18+I18-G18-H18</x:f>
        <x:v>310</x:v>
      </x:c>
      <x:c r="K18" s="13">
        <x:f>J18/C18</x:f>
        <x:v>155</x:v>
      </x:c>
    </x:row>
    <x:row r="19" spans="1:11" ht="18" customHeight="1">
      <x:c r="A19" s="15" t="s">
        <x:v>281</x:v>
      </x:c>
      <x:c r="B19" s="14" t="s">
        <x:v>165</x:v>
      </x:c>
      <x:c r="C19" s="6">
        <x:v>2</x:v>
      </x:c>
      <x:c r="D19" s="14" t="s">
        <x:v>70</x:v>
      </x:c>
      <x:c r="E19" s="1" t="s">
        <x:v>65</x:v>
      </x:c>
      <x:c r="F19" s="1">
        <x:v>240</x:v>
      </x:c>
      <x:c r="G19" s="6">
        <x:f>H15*C19</x:f>
        <x:v>0</x:v>
      </x:c>
      <x:c r="H19" s="6"/>
      <x:c r="I19" s="6"/>
      <x:c r="J19" s="12">
        <x:f>F19+I19-G19-H19</x:f>
        <x:v>240</x:v>
      </x:c>
      <x:c r="K19" s="13">
        <x:f>J19/C19</x:f>
        <x:v>120</x:v>
      </x:c>
    </x:row>
    <x:row r="20" spans="1:11" customFormat="1" ht="18" customHeight="1">
      <x:c r="A20" s="15" t="s">
        <x:v>281</x:v>
      </x:c>
      <x:c r="B20" s="14" t="s">
        <x:v>143</x:v>
      </x:c>
      <x:c r="C20" s="6">
        <x:v>2</x:v>
      </x:c>
      <x:c r="D20" s="14" t="s">
        <x:v>83</x:v>
      </x:c>
      <x:c r="E20" s="7" t="s">
        <x:v>60</x:v>
      </x:c>
      <x:c r="F20" s="1">
        <x:v>76</x:v>
      </x:c>
      <x:c r="G20" s="6">
        <x:f>J4*C20</x:f>
        <x:v>0</x:v>
      </x:c>
      <x:c r="H20" s="6"/>
      <x:c r="I20" s="6"/>
      <x:c r="J20" s="12">
        <x:f>F20+I20-G20-H20</x:f>
        <x:v>76</x:v>
      </x:c>
      <x:c r="K20" s="13">
        <x:f>J20/C20</x:f>
        <x:v>38</x:v>
      </x:c>
    </x:row>
    <x:row r="21" spans="1:11" customFormat="1" ht="18" customHeight="1">
      <x:c r="A21" s="15" t="s">
        <x:v>281</x:v>
      </x:c>
      <x:c r="B21" s="14" t="s">
        <x:v>143</x:v>
      </x:c>
      <x:c r="C21" s="6">
        <x:v>2</x:v>
      </x:c>
      <x:c r="D21" s="14" t="s">
        <x:v>41</x:v>
      </x:c>
      <x:c r="E21" s="7" t="s">
        <x:v>25</x:v>
      </x:c>
      <x:c r="F21" s="1">
        <x:v>2</x:v>
      </x:c>
      <x:c r="G21" s="6">
        <x:f>J5*C21</x:f>
        <x:v>0</x:v>
      </x:c>
      <x:c r="H21" s="6"/>
      <x:c r="I21" s="6"/>
      <x:c r="J21" s="12">
        <x:f>F21+I21-G21-H21</x:f>
        <x:v>2</x:v>
      </x:c>
      <x:c r="K21" s="13">
        <x:f>J21/C21</x:f>
        <x:v>1</x:v>
      </x:c>
    </x:row>
    <x:row r="22" spans="1:11" customFormat="1" ht="18" customHeight="1">
      <x:c r="A22" s="15" t="s">
        <x:v>281</x:v>
      </x:c>
      <x:c r="B22" s="14" t="s">
        <x:v>143</x:v>
      </x:c>
      <x:c r="C22" s="6">
        <x:v>2</x:v>
      </x:c>
      <x:c r="D22" s="14" t="s">
        <x:v>47</x:v>
      </x:c>
      <x:c r="E22" s="7" t="s">
        <x:v>39</x:v>
      </x:c>
      <x:c r="F22" s="1">
        <x:v>73</x:v>
      </x:c>
      <x:c r="G22" s="6">
        <x:f>J6*C22</x:f>
        <x:v>0</x:v>
      </x:c>
      <x:c r="H22" s="6"/>
      <x:c r="I22" s="6"/>
      <x:c r="J22" s="12">
        <x:f>F22+I22-G22-H22</x:f>
        <x:v>73</x:v>
      </x:c>
      <x:c r="K22" s="13">
        <x:f>J22/C22</x:f>
        <x:v>36.5</x:v>
      </x:c>
    </x:row>
    <x:row r="23" spans="1:11" customFormat="1" ht="18" customHeight="1">
      <x:c r="A23" s="15" t="s">
        <x:v>281</x:v>
      </x:c>
      <x:c r="B23" s="14" t="s">
        <x:v>143</x:v>
      </x:c>
      <x:c r="C23" s="6">
        <x:v>2</x:v>
      </x:c>
      <x:c r="D23" s="14" t="s">
        <x:v>73</x:v>
      </x:c>
      <x:c r="E23" s="7" t="s">
        <x:v>90</x:v>
      </x:c>
      <x:c r="F23" s="1">
        <x:v>78</x:v>
      </x:c>
      <x:c r="G23" s="6">
        <x:f>J7*C23</x:f>
        <x:v>4</x:v>
      </x:c>
      <x:c r="H23" s="6"/>
      <x:c r="I23" s="6"/>
      <x:c r="J23" s="12">
        <x:f>F23+I23-G23-H23</x:f>
        <x:v>74</x:v>
      </x:c>
      <x:c r="K23" s="13">
        <x:f>J23/C23</x:f>
        <x:v>37</x:v>
      </x:c>
    </x:row>
    <x:row r="24" spans="1:11" ht="18" customHeight="1">
      <x:c r="A24" s="15" t="s">
        <x:v>67</x:v>
      </x:c>
      <x:c r="B24" s="14" t="s">
        <x:v>62</x:v>
      </x:c>
      <x:c r="C24" s="6">
        <x:v>4</x:v>
      </x:c>
      <x:c r="D24" s="14" t="s">
        <x:v>250</x:v>
      </x:c>
      <x:c r="E24" s="1" t="s">
        <x:v>69</x:v>
      </x:c>
      <x:c r="F24" s="7">
        <x:v>304</x:v>
      </x:c>
      <x:c r="G24" s="6">
        <x:f>SUM(H2:H11)*C24</x:f>
        <x:v>0</x:v>
      </x:c>
      <x:c r="H24" s="6"/>
      <x:c r="I24" s="6"/>
      <x:c r="J24" s="12">
        <x:f>F24+I24-G24-H24</x:f>
        <x:v>304</x:v>
      </x:c>
      <x:c r="K24" s="13">
        <x:f>J24/C24</x:f>
        <x:v>76</x:v>
      </x:c>
    </x:row>
    <x:row r="25" spans="1:11" ht="18" customHeight="1">
      <x:c r="A25" s="15" t="s">
        <x:v>67</x:v>
      </x:c>
      <x:c r="B25" s="14" t="s">
        <x:v>62</x:v>
      </x:c>
      <x:c r="C25" s="6">
        <x:v>4</x:v>
      </x:c>
      <x:c r="D25" s="14" t="s">
        <x:v>239</x:v>
      </x:c>
      <x:c r="E25" s="1" t="s">
        <x:v>61</x:v>
      </x:c>
      <x:c r="F25" s="7">
        <x:v>150</x:v>
      </x:c>
      <x:c r="G25" s="1">
        <x:f>SUM(H12:H14)*C25</x:f>
        <x:v>0</x:v>
      </x:c>
      <x:c r="J25" s="12">
        <x:f>F25+I25-G25-H25</x:f>
        <x:v>150</x:v>
      </x:c>
      <x:c r="K25" s="13">
        <x:f>J25/C25</x:f>
        <x:v>37.5</x:v>
      </x:c>
    </x:row>
    <x:row r="26" spans="1:11" ht="18" customHeight="1">
      <x:c r="A26" s="15" t="s">
        <x:v>67</x:v>
      </x:c>
      <x:c r="B26" s="14" t="s">
        <x:v>62</x:v>
      </x:c>
      <x:c r="C26" s="6">
        <x:v>4</x:v>
      </x:c>
      <x:c r="D26" s="14" t="s">
        <x:v>70</x:v>
      </x:c>
      <x:c r="E26" s="7" t="s">
        <x:v>26</x:v>
      </x:c>
      <x:c r="F26" s="1">
        <x:v>262</x:v>
      </x:c>
      <x:c r="G26" s="1">
        <x:f>H15*C26</x:f>
        <x:v>0</x:v>
      </x:c>
      <x:c r="J26" s="12">
        <x:f>F26+I26-G26-H26</x:f>
        <x:v>262</x:v>
      </x:c>
      <x:c r="K26" s="13">
        <x:f>J26/C26</x:f>
        <x:v>65.5</x:v>
      </x:c>
    </x:row>
    <x:row r="27" spans="1:11" ht="18" customHeight="1">
      <x:c r="A27" s="15" t="s">
        <x:v>67</x:v>
      </x:c>
      <x:c r="B27" s="14" t="s">
        <x:v>62</x:v>
      </x:c>
      <x:c r="C27" s="1">
        <x:v>4</x:v>
      </x:c>
      <x:c r="D27" s="14" t="s">
        <x:v>83</x:v>
      </x:c>
      <x:c r="E27" s="7" t="s">
        <x:v>61</x:v>
      </x:c>
      <x:c r="F27" s="1">
        <x:v>206</x:v>
      </x:c>
      <x:c r="G27" s="1">
        <x:f>J4*C27</x:f>
        <x:v>0</x:v>
      </x:c>
      <x:c r="J27" s="12">
        <x:f>F27+I27-G27-H27</x:f>
        <x:v>206</x:v>
      </x:c>
      <x:c r="K27" s="13">
        <x:f>J27/C27</x:f>
        <x:v>51.5</x:v>
      </x:c>
    </x:row>
    <x:row r="28" spans="1:11" ht="18" customHeight="1">
      <x:c r="A28" s="15" t="s">
        <x:v>67</x:v>
      </x:c>
      <x:c r="B28" s="14" t="s">
        <x:v>62</x:v>
      </x:c>
      <x:c r="C28" s="1">
        <x:v>4</x:v>
      </x:c>
      <x:c r="D28" s="14" t="s">
        <x:v>41</x:v>
      </x:c>
      <x:c r="E28" s="7" t="s">
        <x:v>50</x:v>
      </x:c>
      <x:c r="F28" s="1">
        <x:v>0</x:v>
      </x:c>
      <x:c r="G28" s="1">
        <x:f>J5*C28</x:f>
        <x:v>0</x:v>
      </x:c>
      <x:c r="J28" s="12">
        <x:f>F28+I28-G28-H28</x:f>
        <x:v>0</x:v>
      </x:c>
      <x:c r="K28" s="13">
        <x:f>J28/C28</x:f>
        <x:v>0</x:v>
      </x:c>
    </x:row>
    <x:row r="29" spans="1:11" ht="18" customHeight="1">
      <x:c r="A29" s="15" t="s">
        <x:v>67</x:v>
      </x:c>
      <x:c r="B29" s="14" t="s">
        <x:v>62</x:v>
      </x:c>
      <x:c r="C29" s="1">
        <x:v>4</x:v>
      </x:c>
      <x:c r="D29" s="14" t="s">
        <x:v>19</x:v>
      </x:c>
      <x:c r="E29" s="7" t="s">
        <x:v>74</x:v>
      </x:c>
      <x:c r="F29" s="1">
        <x:v>328</x:v>
      </x:c>
      <x:c r="G29" s="1">
        <x:f>SUM(J6:J7)*C29</x:f>
        <x:v>8</x:v>
      </x:c>
      <x:c r="J29" s="12">
        <x:f>F29+I29-G29-H29</x:f>
        <x:v>320</x:v>
      </x:c>
      <x:c r="K29" s="13">
        <x:f>J29/C29</x:f>
        <x:v>80</x:v>
      </x:c>
    </x:row>
    <x:row r="30" spans="1:11" customFormat="1" ht="18" customHeight="1">
      <x:c r="A30" s="15" t="s">
        <x:v>243</x:v>
      </x:c>
      <x:c r="B30" s="14" t="s">
        <x:v>62</x:v>
      </x:c>
      <x:c r="C30" s="6">
        <x:v>8</x:v>
      </x:c>
      <x:c r="D30" s="14" t="s">
        <x:v>250</x:v>
      </x:c>
      <x:c r="E30" s="1" t="s">
        <x:v>69</x:v>
      </x:c>
      <x:c r="F30" s="7">
        <x:v>612</x:v>
      </x:c>
      <x:c r="G30" s="6">
        <x:f>SUM(H2:H11)*C30</x:f>
        <x:v>0</x:v>
      </x:c>
      <x:c r="H30" s="6"/>
      <x:c r="I30" s="6"/>
      <x:c r="J30" s="12">
        <x:f>F30+I30-G30-H30</x:f>
        <x:v>612</x:v>
      </x:c>
      <x:c r="K30" s="13">
        <x:f>J30/C30</x:f>
        <x:v>76.5</x:v>
      </x:c>
    </x:row>
    <x:row r="31" spans="1:11" customFormat="1" ht="18" customHeight="1">
      <x:c r="A31" s="15" t="s">
        <x:v>243</x:v>
      </x:c>
      <x:c r="B31" s="14" t="s">
        <x:v>62</x:v>
      </x:c>
      <x:c r="C31" s="6">
        <x:v>8</x:v>
      </x:c>
      <x:c r="D31" s="14" t="s">
        <x:v>239</x:v>
      </x:c>
      <x:c r="E31" s="1" t="s">
        <x:v>61</x:v>
      </x:c>
      <x:c r="F31" s="7">
        <x:v>246</x:v>
      </x:c>
      <x:c r="G31" s="1">
        <x:f>SUM(H12:H14)*C31</x:f>
        <x:v>0</x:v>
      </x:c>
      <x:c r="H31" s="1"/>
      <x:c r="I31" s="1"/>
      <x:c r="J31" s="12">
        <x:f>F31+I31-G31-H31</x:f>
        <x:v>246</x:v>
      </x:c>
      <x:c r="K31" s="13">
        <x:f>J31/C31</x:f>
        <x:v>30.75</x:v>
      </x:c>
    </x:row>
    <x:row r="32" spans="1:11" customFormat="1" ht="18" customHeight="1">
      <x:c r="A32" s="15" t="s">
        <x:v>243</x:v>
      </x:c>
      <x:c r="B32" s="14" t="s">
        <x:v>62</x:v>
      </x:c>
      <x:c r="C32" s="6">
        <x:v>8</x:v>
      </x:c>
      <x:c r="D32" s="14" t="s">
        <x:v>70</x:v>
      </x:c>
      <x:c r="E32" s="7" t="s">
        <x:v>48</x:v>
      </x:c>
      <x:c r="F32" s="1">
        <x:v>530</x:v>
      </x:c>
      <x:c r="G32" s="1">
        <x:f>H15*C32</x:f>
        <x:v>0</x:v>
      </x:c>
      <x:c r="H32" s="1"/>
      <x:c r="I32" s="1"/>
      <x:c r="J32" s="12">
        <x:f>F32+I32-G32-H32</x:f>
        <x:v>530</x:v>
      </x:c>
      <x:c r="K32" s="13">
        <x:f>J32/C32</x:f>
        <x:v>66.25</x:v>
      </x:c>
    </x:row>
    <x:row r="33" spans="1:11" customFormat="1" ht="18" customHeight="1">
      <x:c r="A33" s="15" t="s">
        <x:v>243</x:v>
      </x:c>
      <x:c r="B33" s="14" t="s">
        <x:v>62</x:v>
      </x:c>
      <x:c r="C33" s="1">
        <x:v>5</x:v>
      </x:c>
      <x:c r="D33" s="14" t="s">
        <x:v>83</x:v>
      </x:c>
      <x:c r="E33" s="7" t="s">
        <x:v>82</x:v>
      </x:c>
      <x:c r="F33" s="1">
        <x:v>180</x:v>
      </x:c>
      <x:c r="G33" s="1">
        <x:f>J4*C33</x:f>
        <x:v>0</x:v>
      </x:c>
      <x:c r="H33" s="1"/>
      <x:c r="I33" s="1"/>
      <x:c r="J33" s="12">
        <x:f>F33+I33-G33-H33</x:f>
        <x:v>180</x:v>
      </x:c>
      <x:c r="K33" s="13">
        <x:f>J33/C33</x:f>
        <x:v>36</x:v>
      </x:c>
    </x:row>
    <x:row r="34" spans="1:11" customFormat="1" ht="18" customHeight="1">
      <x:c r="A34" s="15" t="s">
        <x:v>243</x:v>
      </x:c>
      <x:c r="B34" s="14" t="s">
        <x:v>62</x:v>
      </x:c>
      <x:c r="C34" s="1">
        <x:v>5</x:v>
      </x:c>
      <x:c r="D34" s="14" t="s">
        <x:v>41</x:v>
      </x:c>
      <x:c r="E34" s="7" t="s">
        <x:v>48</x:v>
      </x:c>
      <x:c r="F34" s="1">
        <x:v>5</x:v>
      </x:c>
      <x:c r="G34" s="1">
        <x:f>J5*C34</x:f>
        <x:v>0</x:v>
      </x:c>
      <x:c r="H34" s="1"/>
      <x:c r="I34" s="1"/>
      <x:c r="J34" s="12">
        <x:f>F34+I34-G34-H34</x:f>
        <x:v>5</x:v>
      </x:c>
      <x:c r="K34" s="13">
        <x:f>J34/C34</x:f>
        <x:v>1</x:v>
      </x:c>
    </x:row>
    <x:row r="35" spans="1:11" customFormat="1" ht="18" customHeight="1">
      <x:c r="A35" s="15" t="s">
        <x:v>243</x:v>
      </x:c>
      <x:c r="B35" s="14" t="s">
        <x:v>62</x:v>
      </x:c>
      <x:c r="C35" s="1">
        <x:v>5</x:v>
      </x:c>
      <x:c r="D35" s="14" t="s">
        <x:v>19</x:v>
      </x:c>
      <x:c r="E35" s="7" t="s">
        <x:v>97</x:v>
      </x:c>
      <x:c r="F35" s="1">
        <x:v>380</x:v>
      </x:c>
      <x:c r="G35" s="1">
        <x:f>J7*C35</x:f>
        <x:v>10</x:v>
      </x:c>
      <x:c r="H35" s="1"/>
      <x:c r="I35" s="1"/>
      <x:c r="J35" s="12">
        <x:f>F35+I35-G35-H35</x:f>
        <x:v>370</x:v>
      </x:c>
      <x:c r="K35" s="13">
        <x:f>J35/C35</x:f>
        <x:v>74</x:v>
      </x:c>
    </x:row>
    <x:row r="36" spans="1:11" customFormat="1" ht="18" customHeight="1">
      <x:c r="A36" s="15" t="s">
        <x:v>38</x:v>
      </x:c>
      <x:c r="B36" s="14" t="s">
        <x:v>156</x:v>
      </x:c>
      <x:c r="C36" s="6">
        <x:v>2</x:v>
      </x:c>
      <x:c r="D36" s="14" t="s">
        <x:v>250</x:v>
      </x:c>
      <x:c r="E36" s="1" t="s">
        <x:v>120</x:v>
      </x:c>
      <x:c r="F36" s="7">
        <x:v>79</x:v>
      </x:c>
      <x:c r="G36" s="6">
        <x:f>SUM(H2:H11)*C36</x:f>
        <x:v>0</x:v>
      </x:c>
      <x:c r="H36" s="6"/>
      <x:c r="I36" s="6"/>
      <x:c r="J36" s="12">
        <x:f>F36+I36-G36-H36</x:f>
        <x:v>79</x:v>
      </x:c>
      <x:c r="K36" s="13">
        <x:f>J36/C36</x:f>
        <x:v>39.5</x:v>
      </x:c>
    </x:row>
    <x:row r="37" spans="1:11" customFormat="1" ht="18" customHeight="1">
      <x:c r="A37" s="15" t="s">
        <x:v>38</x:v>
      </x:c>
      <x:c r="B37" s="14" t="s">
        <x:v>156</x:v>
      </x:c>
      <x:c r="C37" s="6">
        <x:v>2</x:v>
      </x:c>
      <x:c r="D37" s="14" t="s">
        <x:v>239</x:v>
      </x:c>
      <x:c r="E37" s="1" t="s">
        <x:v>64</x:v>
      </x:c>
      <x:c r="F37" s="7">
        <x:v>116</x:v>
      </x:c>
      <x:c r="G37" s="1">
        <x:f>SUM(H12:H14)*C37</x:f>
        <x:v>0</x:v>
      </x:c>
      <x:c r="H37" s="1"/>
      <x:c r="I37" s="1"/>
      <x:c r="J37" s="12">
        <x:f>F37+I37-G37-H37</x:f>
        <x:v>116</x:v>
      </x:c>
      <x:c r="K37" s="13">
        <x:f>J37/C37</x:f>
        <x:v>58</x:v>
      </x:c>
    </x:row>
    <x:row r="38" spans="1:11" customFormat="1" ht="18" customHeight="1">
      <x:c r="A38" s="15" t="s">
        <x:v>38</x:v>
      </x:c>
      <x:c r="B38" s="14" t="s">
        <x:v>156</x:v>
      </x:c>
      <x:c r="C38" s="6">
        <x:v>2</x:v>
      </x:c>
      <x:c r="D38" s="14" t="s">
        <x:v>70</x:v>
      </x:c>
      <x:c r="E38" s="7" t="s">
        <x:v>63</x:v>
      </x:c>
      <x:c r="F38" s="1">
        <x:v>70</x:v>
      </x:c>
      <x:c r="G38" s="1">
        <x:f>H15*C38</x:f>
        <x:v>0</x:v>
      </x:c>
      <x:c r="H38" s="1"/>
      <x:c r="I38" s="1"/>
      <x:c r="J38" s="12">
        <x:f>F38+I38-G38-H38</x:f>
        <x:v>70</x:v>
      </x:c>
      <x:c r="K38" s="13">
        <x:f>J38/C38</x:f>
        <x:v>35</x:v>
      </x:c>
    </x:row>
    <x:row r="39" spans="1:11" customFormat="1" ht="18" customHeight="1">
      <x:c r="A39" s="15" t="s">
        <x:v>38</x:v>
      </x:c>
      <x:c r="B39" s="14" t="s">
        <x:v>156</x:v>
      </x:c>
      <x:c r="C39" s="1">
        <x:v>2</x:v>
      </x:c>
      <x:c r="D39" s="14" t="s">
        <x:v>83</x:v>
      </x:c>
      <x:c r="E39" s="1" t="s">
        <x:v>236</x:v>
      </x:c>
      <x:c r="F39" s="1">
        <x:v>68</x:v>
      </x:c>
      <x:c r="G39" s="1">
        <x:f>J4*C39</x:f>
        <x:v>0</x:v>
      </x:c>
      <x:c r="H39" s="1"/>
      <x:c r="I39" s="1"/>
      <x:c r="J39" s="12">
        <x:f>F39+I39-G39-H39</x:f>
        <x:v>68</x:v>
      </x:c>
      <x:c r="K39" s="13">
        <x:f>J39/C39</x:f>
        <x:v>34</x:v>
      </x:c>
    </x:row>
    <x:row r="40" spans="1:11" customFormat="1" ht="18" customHeight="1">
      <x:c r="A40" s="15" t="s">
        <x:v>38</x:v>
      </x:c>
      <x:c r="B40" s="14" t="s">
        <x:v>156</x:v>
      </x:c>
      <x:c r="C40" s="1">
        <x:v>2</x:v>
      </x:c>
      <x:c r="D40" s="14" t="s">
        <x:v>41</x:v>
      </x:c>
      <x:c r="E40" s="7" t="s">
        <x:v>258</x:v>
      </x:c>
      <x:c r="F40" s="1">
        <x:v>0</x:v>
      </x:c>
      <x:c r="G40" s="1">
        <x:f>J5*C40</x:f>
        <x:v>0</x:v>
      </x:c>
      <x:c r="H40" s="1"/>
      <x:c r="I40" s="1"/>
      <x:c r="J40" s="12">
        <x:f>F40+I40-G40-H40</x:f>
        <x:v>0</x:v>
      </x:c>
      <x:c r="K40" s="13">
        <x:f>J40/C40</x:f>
        <x:v>0</x:v>
      </x:c>
    </x:row>
    <x:row r="41" spans="1:11" customFormat="1" ht="18" customHeight="1">
      <x:c r="A41" s="15" t="s">
        <x:v>38</x:v>
      </x:c>
      <x:c r="B41" s="14" t="s">
        <x:v>156</x:v>
      </x:c>
      <x:c r="C41" s="1">
        <x:v>2</x:v>
      </x:c>
      <x:c r="D41" s="14" t="s">
        <x:v>47</x:v>
      </x:c>
      <x:c r="E41" s="7" t="s">
        <x:v>232</x:v>
      </x:c>
      <x:c r="F41" s="1">
        <x:v>88</x:v>
      </x:c>
      <x:c r="G41" s="1">
        <x:f>J6*C41</x:f>
        <x:v>0</x:v>
      </x:c>
      <x:c r="H41" s="1"/>
      <x:c r="I41" s="1"/>
      <x:c r="J41" s="12">
        <x:f>F41+I41-G41-H41</x:f>
        <x:v>88</x:v>
      </x:c>
      <x:c r="K41" s="13">
        <x:f>J41/C41</x:f>
        <x:v>44</x:v>
      </x:c>
    </x:row>
    <x:row r="42" spans="1:11" ht="18" customHeight="1">
      <x:c r="A42" s="15" t="s">
        <x:v>38</x:v>
      </x:c>
      <x:c r="B42" s="14" t="s">
        <x:v>156</x:v>
      </x:c>
      <x:c r="C42" s="1">
        <x:v>2</x:v>
      </x:c>
      <x:c r="D42" s="9" t="s">
        <x:v>73</x:v>
      </x:c>
      <x:c r="E42" s="7" t="s">
        <x:v>52</x:v>
      </x:c>
      <x:c r="F42" s="1">
        <x:v>81</x:v>
      </x:c>
      <x:c r="G42" s="1">
        <x:f>J7*C42</x:f>
        <x:v>4</x:v>
      </x:c>
      <x:c r="J42" s="12">
        <x:f>F42+I42-G42-H42</x:f>
        <x:v>77</x:v>
      </x:c>
      <x:c r="K42" s="13">
        <x:f>J42/C42</x:f>
        <x:v>38.5</x:v>
      </x:c>
    </x:row>
    <x:row r="43" spans="1:11" customFormat="1" ht="18" customHeight="1">
      <x:c r="A43" s="15" t="s">
        <x:v>253</x:v>
      </x:c>
      <x:c r="B43" s="14" t="s">
        <x:v>143</x:v>
      </x:c>
      <x:c r="C43" s="6">
        <x:v>2</x:v>
      </x:c>
      <x:c r="D43" s="14" t="s">
        <x:v>250</x:v>
      </x:c>
      <x:c r="E43" s="1" t="s">
        <x:v>201</x:v>
      </x:c>
      <x:c r="F43" s="7">
        <x:v>36</x:v>
      </x:c>
      <x:c r="G43" s="6">
        <x:f>SUM(H2:H11)*C43</x:f>
        <x:v>0</x:v>
      </x:c>
      <x:c r="H43" s="6"/>
      <x:c r="I43" s="6"/>
      <x:c r="J43" s="12">
        <x:f>F43+I43-G43-H43</x:f>
        <x:v>36</x:v>
      </x:c>
      <x:c r="K43" s="13">
        <x:f>J43/C43</x:f>
        <x:v>18</x:v>
      </x:c>
    </x:row>
    <x:row r="44" spans="1:11" customFormat="1" ht="18" customHeight="1">
      <x:c r="A44" s="15" t="s">
        <x:v>253</x:v>
      </x:c>
      <x:c r="B44" s="14" t="s">
        <x:v>143</x:v>
      </x:c>
      <x:c r="C44" s="6">
        <x:v>2</x:v>
      </x:c>
      <x:c r="D44" s="14" t="s">
        <x:v>239</x:v>
      </x:c>
      <x:c r="E44" s="1" t="s">
        <x:v>150</x:v>
      </x:c>
      <x:c r="F44" s="7">
        <x:v>177</x:v>
      </x:c>
      <x:c r="G44" s="1">
        <x:f>SUM(H12:H14)*C44</x:f>
        <x:v>0</x:v>
      </x:c>
      <x:c r="H44" s="1"/>
      <x:c r="I44" s="1"/>
      <x:c r="J44" s="12">
        <x:f>F44+I44-G44-H44</x:f>
        <x:v>177</x:v>
      </x:c>
      <x:c r="K44" s="13">
        <x:f>J44/C44</x:f>
        <x:v>88.5</x:v>
      </x:c>
    </x:row>
    <x:row r="45" spans="1:11" customFormat="1" ht="18" customHeight="1">
      <x:c r="A45" s="15" t="s">
        <x:v>253</x:v>
      </x:c>
      <x:c r="B45" s="14" t="s">
        <x:v>143</x:v>
      </x:c>
      <x:c r="C45" s="6">
        <x:v>2</x:v>
      </x:c>
      <x:c r="D45" s="14" t="s">
        <x:v>70</x:v>
      </x:c>
      <x:c r="E45" s="7" t="s">
        <x:v>148</x:v>
      </x:c>
      <x:c r="F45" s="1">
        <x:v>65</x:v>
      </x:c>
      <x:c r="G45" s="1">
        <x:f>H15*C45</x:f>
        <x:v>0</x:v>
      </x:c>
      <x:c r="H45" s="1"/>
      <x:c r="I45" s="1"/>
      <x:c r="J45" s="12">
        <x:f>F45+I45-G45-H45</x:f>
        <x:v>65</x:v>
      </x:c>
      <x:c r="K45" s="13">
        <x:f>J45/C45</x:f>
        <x:v>32.5</x:v>
      </x:c>
    </x:row>
    <x:row r="46" spans="1:11" customFormat="1" ht="18" customHeight="1">
      <x:c r="A46" s="15" t="s">
        <x:v>253</x:v>
      </x:c>
      <x:c r="B46" s="14" t="s">
        <x:v>137</x:v>
      </x:c>
      <x:c r="C46" s="1">
        <x:v>1</x:v>
      </x:c>
      <x:c r="D46" s="14" t="s">
        <x:v>83</x:v>
      </x:c>
      <x:c r="E46" s="1" t="s">
        <x:v>126</x:v>
      </x:c>
      <x:c r="F46" s="1">
        <x:v>0</x:v>
      </x:c>
      <x:c r="G46" s="1">
        <x:f>J4*C46</x:f>
        <x:v>0</x:v>
      </x:c>
      <x:c r="H46" s="1"/>
      <x:c r="I46" s="1"/>
      <x:c r="J46" s="12">
        <x:f>F46+I46-G46-H46</x:f>
        <x:v>0</x:v>
      </x:c>
      <x:c r="K46" s="13">
        <x:f>J46/C46</x:f>
        <x:v>0</x:v>
      </x:c>
    </x:row>
    <x:row r="47" spans="1:11" customFormat="1" ht="18" customHeight="1">
      <x:c r="A47" s="15" t="s">
        <x:v>253</x:v>
      </x:c>
      <x:c r="B47" s="14" t="s">
        <x:v>137</x:v>
      </x:c>
      <x:c r="C47" s="1">
        <x:v>1</x:v>
      </x:c>
      <x:c r="D47" s="14" t="s">
        <x:v>41</x:v>
      </x:c>
      <x:c r="E47" s="7"/>
      <x:c r="F47" s="1">
        <x:v>3</x:v>
      </x:c>
      <x:c r="G47" s="1">
        <x:f>J5*C47</x:f>
        <x:v>0</x:v>
      </x:c>
      <x:c r="H47" s="1"/>
      <x:c r="I47" s="1"/>
      <x:c r="J47" s="12">
        <x:f>F47+I47-G47-H47</x:f>
        <x:v>3</x:v>
      </x:c>
      <x:c r="K47" s="13">
        <x:f>J47/C47</x:f>
        <x:v>3</x:v>
      </x:c>
    </x:row>
    <x:row r="48" spans="1:11" customFormat="1" ht="18" customHeight="1">
      <x:c r="A48" s="15" t="s">
        <x:v>253</x:v>
      </x:c>
      <x:c r="B48" s="14" t="s">
        <x:v>137</x:v>
      </x:c>
      <x:c r="C48" s="1">
        <x:v>1</x:v>
      </x:c>
      <x:c r="D48" s="14" t="s">
        <x:v>47</x:v>
      </x:c>
      <x:c r="E48" s="7" t="s">
        <x:v>133</x:v>
      </x:c>
      <x:c r="F48" s="1">
        <x:v>8</x:v>
      </x:c>
      <x:c r="G48" s="1">
        <x:f>J6*C48</x:f>
        <x:v>0</x:v>
      </x:c>
      <x:c r="H48" s="1"/>
      <x:c r="I48" s="1"/>
      <x:c r="J48" s="12">
        <x:f>F48+I48-G48-H48</x:f>
        <x:v>8</x:v>
      </x:c>
      <x:c r="K48" s="13">
        <x:f>J48/C48</x:f>
        <x:v>8</x:v>
      </x:c>
    </x:row>
    <x:row r="49" spans="1:11" customFormat="1" ht="18" customHeight="1">
      <x:c r="A49" s="15" t="s">
        <x:v>253</x:v>
      </x:c>
      <x:c r="B49" s="14" t="s">
        <x:v>137</x:v>
      </x:c>
      <x:c r="C49" s="1">
        <x:v>1</x:v>
      </x:c>
      <x:c r="D49" s="9" t="s">
        <x:v>73</x:v>
      </x:c>
      <x:c r="E49" s="7" t="s">
        <x:v>133</x:v>
      </x:c>
      <x:c r="F49" s="1">
        <x:v>7</x:v>
      </x:c>
      <x:c r="G49" s="1">
        <x:f>J7*C49</x:f>
        <x:v>2</x:v>
      </x:c>
      <x:c r="H49" s="1"/>
      <x:c r="I49" s="1"/>
      <x:c r="J49" s="12">
        <x:f>F49+I49-G49-H49</x:f>
        <x:v>5</x:v>
      </x:c>
      <x:c r="K49" s="13">
        <x:f>J49/C49</x:f>
        <x:v>5</x:v>
      </x:c>
    </x:row>
    <x:row r="50" spans="1:11" customFormat="1" ht="18" customHeight="1">
      <x:c r="A50" s="15" t="s">
        <x:v>274</x:v>
      </x:c>
      <x:c r="B50" s="14" t="s">
        <x:v>143</x:v>
      </x:c>
      <x:c r="C50" s="6">
        <x:v>2</x:v>
      </x:c>
      <x:c r="D50" s="14" t="s">
        <x:v>250</x:v>
      </x:c>
      <x:c r="E50" s="1" t="s">
        <x:v>85</x:v>
      </x:c>
      <x:c r="F50" s="7">
        <x:v>116</x:v>
      </x:c>
      <x:c r="G50" s="6">
        <x:f>SUM(H2:H11)*C50</x:f>
        <x:v>0</x:v>
      </x:c>
      <x:c r="H50" s="6"/>
      <x:c r="I50" s="6"/>
      <x:c r="J50" s="12">
        <x:f>F50+I50-G50-H50</x:f>
        <x:v>116</x:v>
      </x:c>
      <x:c r="K50" s="13">
        <x:f>J50/C50</x:f>
        <x:v>58</x:v>
      </x:c>
    </x:row>
    <x:row r="51" spans="1:11" customFormat="1" ht="18" customHeight="1">
      <x:c r="A51" s="15" t="s">
        <x:v>274</x:v>
      </x:c>
      <x:c r="B51" s="14" t="s">
        <x:v>143</x:v>
      </x:c>
      <x:c r="C51" s="6">
        <x:v>2</x:v>
      </x:c>
      <x:c r="D51" s="14" t="s">
        <x:v>239</x:v>
      </x:c>
      <x:c r="E51" s="1" t="s">
        <x:v>45</x:v>
      </x:c>
      <x:c r="F51" s="7">
        <x:v>62</x:v>
      </x:c>
      <x:c r="G51" s="1">
        <x:f>SUM(H12:H14)*C51</x:f>
        <x:v>0</x:v>
      </x:c>
      <x:c r="H51" s="1"/>
      <x:c r="I51" s="1"/>
      <x:c r="J51" s="12">
        <x:f>F51+I51-G51-H51</x:f>
        <x:v>62</x:v>
      </x:c>
      <x:c r="K51" s="13">
        <x:f>J51/C51</x:f>
        <x:v>31</x:v>
      </x:c>
    </x:row>
    <x:row r="52" spans="1:11" customFormat="1" ht="18" customHeight="1">
      <x:c r="A52" s="15" t="s">
        <x:v>274</x:v>
      </x:c>
      <x:c r="B52" s="14" t="s">
        <x:v>143</x:v>
      </x:c>
      <x:c r="C52" s="6">
        <x:v>2</x:v>
      </x:c>
      <x:c r="D52" s="14" t="s">
        <x:v>70</x:v>
      </x:c>
      <x:c r="E52" s="7" t="s">
        <x:v>66</x:v>
      </x:c>
      <x:c r="F52" s="1">
        <x:v>93</x:v>
      </x:c>
      <x:c r="G52" s="1">
        <x:f>H15*C52</x:f>
        <x:v>0</x:v>
      </x:c>
      <x:c r="H52" s="1"/>
      <x:c r="I52" s="1"/>
      <x:c r="J52" s="12">
        <x:f>F52+I52-G52-H52</x:f>
        <x:v>93</x:v>
      </x:c>
      <x:c r="K52" s="13">
        <x:f>J52/C52</x:f>
        <x:v>46.5</x:v>
      </x:c>
    </x:row>
    <x:row r="53" spans="1:11" customFormat="1" ht="18" customHeight="1">
      <x:c r="A53" s="15" t="s">
        <x:v>274</x:v>
      </x:c>
      <x:c r="B53" s="14" t="s">
        <x:v>137</x:v>
      </x:c>
      <x:c r="C53" s="1">
        <x:v>1</x:v>
      </x:c>
      <x:c r="D53" s="14" t="s">
        <x:v>83</x:v>
      </x:c>
      <x:c r="E53" s="1"/>
      <x:c r="F53" s="1">
        <x:v>1</x:v>
      </x:c>
      <x:c r="G53" s="1">
        <x:f>J4*C53</x:f>
        <x:v>0</x:v>
      </x:c>
      <x:c r="H53" s="1"/>
      <x:c r="I53" s="1"/>
      <x:c r="J53" s="12">
        <x:f>F53+I53-G53-H53</x:f>
        <x:v>1</x:v>
      </x:c>
      <x:c r="K53" s="13">
        <x:f>J53/C53</x:f>
        <x:v>1</x:v>
      </x:c>
    </x:row>
    <x:row r="54" spans="1:11" customFormat="1" ht="18" customHeight="1">
      <x:c r="A54" s="15" t="s">
        <x:v>274</x:v>
      </x:c>
      <x:c r="B54" s="14" t="s">
        <x:v>137</x:v>
      </x:c>
      <x:c r="C54" s="1">
        <x:v>1</x:v>
      </x:c>
      <x:c r="D54" s="14" t="s">
        <x:v>41</x:v>
      </x:c>
      <x:c r="E54" s="7"/>
      <x:c r="F54" s="1">
        <x:v>0</x:v>
      </x:c>
      <x:c r="G54" s="1">
        <x:f>J5*C54</x:f>
        <x:v>0</x:v>
      </x:c>
      <x:c r="H54" s="1"/>
      <x:c r="I54" s="1"/>
      <x:c r="J54" s="12">
        <x:f>F54+I54-G54-H54</x:f>
        <x:v>0</x:v>
      </x:c>
      <x:c r="K54" s="13">
        <x:f>J54/C54</x:f>
        <x:v>0</x:v>
      </x:c>
    </x:row>
    <x:row r="55" spans="1:11" customFormat="1" ht="18" customHeight="1">
      <x:c r="A55" s="15" t="s">
        <x:v>274</x:v>
      </x:c>
      <x:c r="B55" s="14" t="s">
        <x:v>137</x:v>
      </x:c>
      <x:c r="C55" s="1">
        <x:v>1</x:v>
      </x:c>
      <x:c r="D55" s="14" t="s">
        <x:v>47</x:v>
      </x:c>
      <x:c r="E55" s="7"/>
      <x:c r="F55" s="1">
        <x:v>9</x:v>
      </x:c>
      <x:c r="G55" s="1">
        <x:f>J6*C55</x:f>
        <x:v>0</x:v>
      </x:c>
      <x:c r="H55" s="1"/>
      <x:c r="I55" s="1"/>
      <x:c r="J55" s="12">
        <x:f>F55+I55-G55-H55</x:f>
        <x:v>9</x:v>
      </x:c>
      <x:c r="K55" s="13">
        <x:f>J55/C55</x:f>
        <x:v>9</x:v>
      </x:c>
    </x:row>
    <x:row r="56" spans="1:11" customFormat="1" ht="18" customHeight="1">
      <x:c r="A56" s="15" t="s">
        <x:v>274</x:v>
      </x:c>
      <x:c r="B56" s="14" t="s">
        <x:v>137</x:v>
      </x:c>
      <x:c r="C56" s="1">
        <x:v>1</x:v>
      </x:c>
      <x:c r="D56" s="9" t="s">
        <x:v>73</x:v>
      </x:c>
      <x:c r="E56" s="7" t="s">
        <x:v>92</x:v>
      </x:c>
      <x:c r="F56" s="1">
        <x:v>7</x:v>
      </x:c>
      <x:c r="G56" s="1">
        <x:f>J7*C56</x:f>
        <x:v>2</x:v>
      </x:c>
      <x:c r="H56" s="1"/>
      <x:c r="I56" s="1"/>
      <x:c r="J56" s="12">
        <x:f>F56+I56-G56-H56</x:f>
        <x:v>5</x:v>
      </x:c>
      <x:c r="K56" s="13">
        <x:f>J56/C56</x:f>
        <x:v>5</x:v>
      </x:c>
    </x:row>
    <x:row r="57" spans="1:11" customFormat="1" ht="18" customHeight="1">
      <x:c r="A57" s="15" t="s">
        <x:v>53</x:v>
      </x:c>
      <x:c r="B57" s="14" t="s">
        <x:v>143</x:v>
      </x:c>
      <x:c r="C57" s="6">
        <x:v>8</x:v>
      </x:c>
      <x:c r="D57" s="14" t="s">
        <x:v>250</x:v>
      </x:c>
      <x:c r="E57" s="1" t="s">
        <x:v>175</x:v>
      </x:c>
      <x:c r="F57" s="7">
        <x:v>318</x:v>
      </x:c>
      <x:c r="G57" s="6">
        <x:f>SUM(H2:H11)*C57</x:f>
        <x:v>0</x:v>
      </x:c>
      <x:c r="H57" s="6"/>
      <x:c r="I57" s="6"/>
      <x:c r="J57" s="12">
        <x:f>F57+I57-G57-H57</x:f>
        <x:v>318</x:v>
      </x:c>
      <x:c r="K57" s="13">
        <x:f>J57/C57</x:f>
        <x:v>39.75</x:v>
      </x:c>
    </x:row>
    <x:row r="58" spans="1:11" customFormat="1" ht="18" customHeight="1">
      <x:c r="A58" s="15" t="s">
        <x:v>53</x:v>
      </x:c>
      <x:c r="B58" s="14" t="s">
        <x:v>143</x:v>
      </x:c>
      <x:c r="C58" s="6">
        <x:v>8</x:v>
      </x:c>
      <x:c r="D58" s="14" t="s">
        <x:v>239</x:v>
      </x:c>
      <x:c r="E58" s="1" t="s">
        <x:v>159</x:v>
      </x:c>
      <x:c r="F58" s="7">
        <x:v>299</x:v>
      </x:c>
      <x:c r="G58" s="1">
        <x:f>SUM(H12:H14)*C58</x:f>
        <x:v>0</x:v>
      </x:c>
      <x:c r="H58" s="1"/>
      <x:c r="I58" s="1"/>
      <x:c r="J58" s="12">
        <x:f>F58+I58-G58-H58</x:f>
        <x:v>299</x:v>
      </x:c>
      <x:c r="K58" s="13">
        <x:f>J58/C58</x:f>
        <x:v>37.375</x:v>
      </x:c>
    </x:row>
    <x:row r="59" spans="1:11" customFormat="1" ht="18" customHeight="1">
      <x:c r="A59" s="15" t="s">
        <x:v>53</x:v>
      </x:c>
      <x:c r="B59" s="14" t="s">
        <x:v>143</x:v>
      </x:c>
      <x:c r="C59" s="6">
        <x:v>8</x:v>
      </x:c>
      <x:c r="D59" s="14" t="s">
        <x:v>70</x:v>
      </x:c>
      <x:c r="E59" s="7" t="s">
        <x:v>192</x:v>
      </x:c>
      <x:c r="F59" s="1">
        <x:v>686</x:v>
      </x:c>
      <x:c r="G59" s="1">
        <x:f>H15*C59</x:f>
        <x:v>0</x:v>
      </x:c>
      <x:c r="H59" s="1"/>
      <x:c r="I59" s="1"/>
      <x:c r="J59" s="12">
        <x:f>F59+I59-G59-H59</x:f>
        <x:v>686</x:v>
      </x:c>
      <x:c r="K59" s="13">
        <x:f>J59/C59</x:f>
        <x:v>85.75</x:v>
      </x:c>
    </x:row>
    <x:row r="60" spans="1:11" customFormat="1" ht="18" customHeight="1">
      <x:c r="A60" s="15" t="s">
        <x:v>53</x:v>
      </x:c>
      <x:c r="B60" s="14" t="s">
        <x:v>140</x:v>
      </x:c>
      <x:c r="C60" s="1">
        <x:v>4</x:v>
      </x:c>
      <x:c r="D60" s="14" t="s">
        <x:v>83</x:v>
      </x:c>
      <x:c r="E60" s="1" t="s">
        <x:v>49</x:v>
      </x:c>
      <x:c r="F60" s="1">
        <x:v>138</x:v>
      </x:c>
      <x:c r="G60" s="1">
        <x:f>J4*C60</x:f>
        <x:v>0</x:v>
      </x:c>
      <x:c r="H60" s="1"/>
      <x:c r="I60" s="1"/>
      <x:c r="J60" s="12">
        <x:f>F60+I60-G60-H60</x:f>
        <x:v>138</x:v>
      </x:c>
      <x:c r="K60" s="13">
        <x:f>J60/C60</x:f>
        <x:v>34.5</x:v>
      </x:c>
    </x:row>
    <x:row r="61" spans="1:11" customFormat="1" ht="18" customHeight="1">
      <x:c r="A61" s="15" t="s">
        <x:v>53</x:v>
      </x:c>
      <x:c r="B61" s="14" t="s">
        <x:v>140</x:v>
      </x:c>
      <x:c r="C61" s="1">
        <x:v>4</x:v>
      </x:c>
      <x:c r="D61" s="14" t="s">
        <x:v>8</x:v>
      </x:c>
      <x:c r="E61" s="7" t="s">
        <x:v>71</x:v>
      </x:c>
      <x:c r="F61" s="1">
        <x:v>155</x:v>
      </x:c>
      <x:c r="G61" s="1">
        <x:f>SUM(J5:J6)*C61</x:f>
        <x:v>0</x:v>
      </x:c>
      <x:c r="H61" s="1"/>
      <x:c r="I61" s="1"/>
      <x:c r="J61" s="12">
        <x:f>F61+I61-G61-H61</x:f>
        <x:v>155</x:v>
      </x:c>
      <x:c r="K61" s="13">
        <x:f>J61/C61</x:f>
        <x:v>38.75</x:v>
      </x:c>
    </x:row>
    <x:row r="62" spans="1:11" customFormat="1" ht="18" customHeight="1">
      <x:c r="A62" s="15" t="s">
        <x:v>53</x:v>
      </x:c>
      <x:c r="B62" s="14" t="s">
        <x:v>140</x:v>
      </x:c>
      <x:c r="C62" s="1">
        <x:v>4</x:v>
      </x:c>
      <x:c r="D62" s="9" t="s">
        <x:v>73</x:v>
      </x:c>
      <x:c r="E62" s="7" t="s">
        <x:v>79</x:v>
      </x:c>
      <x:c r="F62" s="1">
        <x:v>165</x:v>
      </x:c>
      <x:c r="G62" s="1">
        <x:f>J7*C62</x:f>
        <x:v>8</x:v>
      </x:c>
      <x:c r="H62" s="1"/>
      <x:c r="I62" s="1"/>
      <x:c r="J62" s="12">
        <x:f>F62+I62-G62-H62</x:f>
        <x:v>157</x:v>
      </x:c>
      <x:c r="K62" s="13">
        <x:f>J62/C62</x:f>
        <x:v>39.25</x:v>
      </x:c>
    </x:row>
    <x:row r="63" spans="1:11" customFormat="1" ht="18" customHeight="1">
      <x:c r="A63" s="15" t="s">
        <x:v>260</x:v>
      </x:c>
      <x:c r="B63" s="14" t="s">
        <x:v>160</x:v>
      </x:c>
      <x:c r="C63" s="1">
        <x:v>2</x:v>
      </x:c>
      <x:c r="D63" s="9" t="s">
        <x:v>250</x:v>
      </x:c>
      <x:c r="E63" s="7" t="s">
        <x:v>125</x:v>
      </x:c>
      <x:c r="F63" s="1">
        <x:v>122</x:v>
      </x:c>
      <x:c r="G63" s="1">
        <x:f>SUM(H2:H11)*C63</x:f>
        <x:v>0</x:v>
      </x:c>
      <x:c r="H63" s="1"/>
      <x:c r="I63" s="1"/>
      <x:c r="J63" s="12">
        <x:f>F63+I63-G63-H63</x:f>
        <x:v>122</x:v>
      </x:c>
      <x:c r="K63" s="13">
        <x:f>J63/C63</x:f>
        <x:v>61</x:v>
      </x:c>
    </x:row>
    <x:row r="64" spans="1:11" customFormat="1" ht="18" customHeight="1">
      <x:c r="A64" s="15" t="s">
        <x:v>260</x:v>
      </x:c>
      <x:c r="B64" s="14" t="s">
        <x:v>160</x:v>
      </x:c>
      <x:c r="C64" s="6">
        <x:v>2</x:v>
      </x:c>
      <x:c r="D64" s="14" t="s">
        <x:v>239</x:v>
      </x:c>
      <x:c r="E64" s="1" t="s">
        <x:v>132</x:v>
      </x:c>
      <x:c r="F64" s="7">
        <x:v>37</x:v>
      </x:c>
      <x:c r="G64" s="1">
        <x:f>SUM(H12:H14)*C64</x:f>
        <x:v>0</x:v>
      </x:c>
      <x:c r="H64" s="1"/>
      <x:c r="I64" s="1"/>
      <x:c r="J64" s="12">
        <x:f>F64+I64-G64-H64</x:f>
        <x:v>37</x:v>
      </x:c>
      <x:c r="K64" s="13">
        <x:f>J64/C64</x:f>
        <x:v>18.5</x:v>
      </x:c>
    </x:row>
    <x:row r="65" spans="1:11" customFormat="1" ht="18" customHeight="1">
      <x:c r="A65" s="15" t="s">
        <x:v>260</x:v>
      </x:c>
      <x:c r="B65" s="14" t="s">
        <x:v>160</x:v>
      </x:c>
      <x:c r="C65" s="6">
        <x:v>2</x:v>
      </x:c>
      <x:c r="D65" s="14" t="s">
        <x:v>70</x:v>
      </x:c>
      <x:c r="E65" s="7" t="s">
        <x:v>129</x:v>
      </x:c>
      <x:c r="F65" s="1">
        <x:v>94</x:v>
      </x:c>
      <x:c r="G65" s="1">
        <x:f>H15*C65</x:f>
        <x:v>0</x:v>
      </x:c>
      <x:c r="H65" s="1"/>
      <x:c r="I65" s="1"/>
      <x:c r="J65" s="12">
        <x:f>F65+I65-G65-H65</x:f>
        <x:v>94</x:v>
      </x:c>
      <x:c r="K65" s="13">
        <x:f>J65/C65</x:f>
        <x:v>47</x:v>
      </x:c>
    </x:row>
    <x:row r="66" spans="1:11" customFormat="1" ht="18" customHeight="1">
      <x:c r="A66" s="15" t="s">
        <x:v>256</x:v>
      </x:c>
      <x:c r="B66" s="14" t="s">
        <x:v>161</x:v>
      </x:c>
      <x:c r="C66" s="6">
        <x:v>2</x:v>
      </x:c>
      <x:c r="D66" s="14" t="s">
        <x:v>250</x:v>
      </x:c>
      <x:c r="E66" s="1" t="s">
        <x:v>152</x:v>
      </x:c>
      <x:c r="F66" s="7">
        <x:v>72</x:v>
      </x:c>
      <x:c r="G66" s="6">
        <x:f>SUM(H2:H11)*C66</x:f>
        <x:v>0</x:v>
      </x:c>
      <x:c r="H66" s="6"/>
      <x:c r="I66" s="6"/>
      <x:c r="J66" s="12">
        <x:f>F66+I66-G66-H66</x:f>
        <x:v>72</x:v>
      </x:c>
      <x:c r="K66" s="13">
        <x:f>J66/C66</x:f>
        <x:v>36</x:v>
      </x:c>
    </x:row>
    <x:row r="67" spans="1:11" customFormat="1" ht="18" customHeight="1">
      <x:c r="A67" s="15" t="s">
        <x:v>256</x:v>
      </x:c>
      <x:c r="B67" s="14" t="s">
        <x:v>161</x:v>
      </x:c>
      <x:c r="C67" s="6">
        <x:v>2</x:v>
      </x:c>
      <x:c r="D67" s="14" t="s">
        <x:v>239</x:v>
      </x:c>
      <x:c r="E67" s="1" t="s">
        <x:v>141</x:v>
      </x:c>
      <x:c r="F67" s="7">
        <x:v>41</x:v>
      </x:c>
      <x:c r="G67" s="1">
        <x:f>SUM(H12:H14)*C67</x:f>
        <x:v>0</x:v>
      </x:c>
      <x:c r="H67" s="1"/>
      <x:c r="I67" s="1"/>
      <x:c r="J67" s="12">
        <x:f>F67+I67-G67-H67</x:f>
        <x:v>41</x:v>
      </x:c>
      <x:c r="K67" s="13">
        <x:f>J67/C67</x:f>
        <x:v>20.5</x:v>
      </x:c>
    </x:row>
    <x:row r="68" spans="1:11" customFormat="1" ht="18" customHeight="1">
      <x:c r="A68" s="15" t="s">
        <x:v>256</x:v>
      </x:c>
      <x:c r="B68" s="14" t="s">
        <x:v>161</x:v>
      </x:c>
      <x:c r="C68" s="6">
        <x:v>2</x:v>
      </x:c>
      <x:c r="D68" s="14" t="s">
        <x:v>70</x:v>
      </x:c>
      <x:c r="E68" s="7" t="s">
        <x:v>138</x:v>
      </x:c>
      <x:c r="F68" s="1">
        <x:v>32</x:v>
      </x:c>
      <x:c r="G68" s="1">
        <x:f>H15*C68</x:f>
        <x:v>0</x:v>
      </x:c>
      <x:c r="H68" s="1"/>
      <x:c r="I68" s="1"/>
      <x:c r="J68" s="12">
        <x:f>F68+I68-G68-H68</x:f>
        <x:v>32</x:v>
      </x:c>
      <x:c r="K68" s="13">
        <x:f>J68/C68</x:f>
        <x:v>16</x:v>
      </x:c>
    </x:row>
    <x:row r="69" spans="1:11" ht="18" customHeight="1">
      <x:c r="A69" s="15" t="s">
        <x:v>29</x:v>
      </x:c>
      <x:c r="B69" s="14" t="s">
        <x:v>137</x:v>
      </x:c>
      <x:c r="C69" s="1">
        <x:v>1</x:v>
      </x:c>
      <x:c r="D69" s="9" t="s">
        <x:v>83</x:v>
      </x:c>
      <x:c r="E69" s="1" t="s">
        <x:v>126</x:v>
      </x:c>
      <x:c r="F69" s="1">
        <x:v>0</x:v>
      </x:c>
      <x:c r="G69" s="1">
        <x:f>J4*C69</x:f>
        <x:v>0</x:v>
      </x:c>
      <x:c r="J69" s="12">
        <x:f>F69+I69-G69-H69</x:f>
        <x:v>0</x:v>
      </x:c>
      <x:c r="K69" s="13">
        <x:f>J69/C69</x:f>
        <x:v>0</x:v>
      </x:c>
    </x:row>
    <x:row r="70" spans="1:11" ht="18" customHeight="1">
      <x:c r="A70" s="15" t="s">
        <x:v>29</x:v>
      </x:c>
      <x:c r="B70" s="14" t="s">
        <x:v>137</x:v>
      </x:c>
      <x:c r="C70" s="1">
        <x:v>1</x:v>
      </x:c>
      <x:c r="D70" s="9" t="s">
        <x:v>41</x:v>
      </x:c>
      <x:c r="F70" s="1">
        <x:v>3</x:v>
      </x:c>
      <x:c r="G70" s="1">
        <x:f>J5*C70</x:f>
        <x:v>0</x:v>
      </x:c>
      <x:c r="J70" s="12">
        <x:f>F70+I70-G70-H70</x:f>
        <x:v>3</x:v>
      </x:c>
      <x:c r="K70" s="13">
        <x:f>J70/C70</x:f>
        <x:v>3</x:v>
      </x:c>
    </x:row>
    <x:row r="71" spans="1:11" ht="18" customHeight="1">
      <x:c r="A71" s="15" t="s">
        <x:v>29</x:v>
      </x:c>
      <x:c r="B71" s="14" t="s">
        <x:v>137</x:v>
      </x:c>
      <x:c r="C71" s="1">
        <x:v>1</x:v>
      </x:c>
      <x:c r="D71" s="9" t="s">
        <x:v>47</x:v>
      </x:c>
      <x:c r="E71" s="1" t="s">
        <x:v>136</x:v>
      </x:c>
      <x:c r="F71" s="1">
        <x:v>10</x:v>
      </x:c>
      <x:c r="G71" s="1">
        <x:f>J6*C71</x:f>
        <x:v>0</x:v>
      </x:c>
      <x:c r="J71" s="12">
        <x:f>F71+I71-G71-H71</x:f>
        <x:v>10</x:v>
      </x:c>
      <x:c r="K71" s="13">
        <x:f>J71/C71</x:f>
        <x:v>10</x:v>
      </x:c>
    </x:row>
    <x:row r="72" spans="1:11" ht="18" customHeight="1">
      <x:c r="A72" s="15" t="s">
        <x:v>29</x:v>
      </x:c>
      <x:c r="B72" s="14" t="s">
        <x:v>137</x:v>
      </x:c>
      <x:c r="C72" s="1">
        <x:v>1</x:v>
      </x:c>
      <x:c r="D72" s="9" t="s">
        <x:v>73</x:v>
      </x:c>
      <x:c r="E72" s="1" t="s">
        <x:v>136</x:v>
      </x:c>
      <x:c r="F72" s="1">
        <x:v>6</x:v>
      </x:c>
      <x:c r="G72" s="1">
        <x:f>J7*C72</x:f>
        <x:v>2</x:v>
      </x:c>
      <x:c r="J72" s="12">
        <x:f>F72+I72-G72-H72</x:f>
        <x:v>4</x:v>
      </x:c>
      <x:c r="K72" s="13">
        <x:f>J72/C72</x:f>
        <x:v>4</x:v>
      </x:c>
    </x:row>
    <x:row r="73" spans="1:11" ht="18" customHeight="1">
      <x:c r="A73" s="15" t="s">
        <x:v>81</x:v>
      </x:c>
      <x:c r="B73" s="14" t="s">
        <x:v>172</x:v>
      </x:c>
      <x:c r="C73" s="1">
        <x:v>1</x:v>
      </x:c>
      <x:c r="D73" s="9" t="s">
        <x:v>83</x:v>
      </x:c>
      <x:c r="F73" s="1">
        <x:v>0</x:v>
      </x:c>
      <x:c r="G73" s="1">
        <x:f>J4*C73</x:f>
        <x:v>0</x:v>
      </x:c>
      <x:c r="J73" s="12">
        <x:f>F73+I73-G73-H73</x:f>
        <x:v>0</x:v>
      </x:c>
      <x:c r="K73" s="13">
        <x:f>J73/C73</x:f>
        <x:v>0</x:v>
      </x:c>
    </x:row>
    <x:row r="74" spans="1:11" ht="18" customHeight="1">
      <x:c r="A74" s="15" t="s">
        <x:v>81</x:v>
      </x:c>
      <x:c r="B74" s="14" t="s">
        <x:v>172</x:v>
      </x:c>
      <x:c r="C74" s="1">
        <x:v>1</x:v>
      </x:c>
      <x:c r="D74" s="9" t="s">
        <x:v>41</x:v>
      </x:c>
      <x:c r="F74" s="1">
        <x:v>0</x:v>
      </x:c>
      <x:c r="G74" s="1">
        <x:f>J5*C74</x:f>
        <x:v>0</x:v>
      </x:c>
      <x:c r="J74" s="12">
        <x:f>F74+I74-G74-H74</x:f>
        <x:v>0</x:v>
      </x:c>
      <x:c r="K74" s="13">
        <x:f>J74/C74</x:f>
        <x:v>0</x:v>
      </x:c>
    </x:row>
    <x:row r="75" spans="1:11" ht="18" customHeight="1">
      <x:c r="A75" s="15" t="s">
        <x:v>81</x:v>
      </x:c>
      <x:c r="B75" s="14" t="s">
        <x:v>172</x:v>
      </x:c>
      <x:c r="C75" s="1">
        <x:v>1</x:v>
      </x:c>
      <x:c r="D75" s="9" t="s">
        <x:v>47</x:v>
      </x:c>
      <x:c r="F75" s="1">
        <x:v>9</x:v>
      </x:c>
      <x:c r="G75" s="1">
        <x:f>J6*C75</x:f>
        <x:v>0</x:v>
      </x:c>
      <x:c r="J75" s="12">
        <x:f>F75+I75-G75-H75</x:f>
        <x:v>9</x:v>
      </x:c>
      <x:c r="K75" s="13">
        <x:f>J75/C75</x:f>
        <x:v>9</x:v>
      </x:c>
    </x:row>
    <x:row r="76" spans="1:11" ht="18" customHeight="1">
      <x:c r="A76" s="15" t="s">
        <x:v>81</x:v>
      </x:c>
      <x:c r="B76" s="14" t="s">
        <x:v>172</x:v>
      </x:c>
      <x:c r="C76" s="1">
        <x:v>1</x:v>
      </x:c>
      <x:c r="D76" s="9" t="s">
        <x:v>73</x:v>
      </x:c>
      <x:c r="F76" s="1">
        <x:v>8</x:v>
      </x:c>
      <x:c r="G76" s="1">
        <x:f>J7*C76</x:f>
        <x:v>2</x:v>
      </x:c>
      <x:c r="J76" s="12">
        <x:f>F76+I76-G76-H76</x:f>
        <x:v>6</x:v>
      </x:c>
      <x:c r="K76" s="13">
        <x:f>J76/C76</x:f>
        <x:v>6</x:v>
      </x:c>
    </x:row>
    <x:row r="77" spans="1:11" ht="18" customHeight="1">
      <x:c r="A77" s="15" t="s">
        <x:v>13</x:v>
      </x:c>
      <x:c r="B77" s="14" t="s">
        <x:v>137</x:v>
      </x:c>
      <x:c r="C77" s="1">
        <x:v>1</x:v>
      </x:c>
      <x:c r="D77" s="9" t="s">
        <x:v>83</x:v>
      </x:c>
      <x:c r="F77" s="1">
        <x:v>1</x:v>
      </x:c>
      <x:c r="G77" s="1">
        <x:f>J4*C77</x:f>
        <x:v>0</x:v>
      </x:c>
      <x:c r="J77" s="12">
        <x:f>F77+I77-G77-H77</x:f>
        <x:v>1</x:v>
      </x:c>
      <x:c r="K77" s="13">
        <x:f>J77/C77</x:f>
        <x:v>1</x:v>
      </x:c>
    </x:row>
    <x:row r="78" spans="1:11" ht="18" customHeight="1">
      <x:c r="A78" s="15" t="s">
        <x:v>13</x:v>
      </x:c>
      <x:c r="B78" s="14" t="s">
        <x:v>137</x:v>
      </x:c>
      <x:c r="C78" s="1">
        <x:v>1</x:v>
      </x:c>
      <x:c r="D78" s="9" t="s">
        <x:v>41</x:v>
      </x:c>
      <x:c r="F78" s="1">
        <x:v>1</x:v>
      </x:c>
      <x:c r="G78" s="1">
        <x:f>J5*C78</x:f>
        <x:v>0</x:v>
      </x:c>
      <x:c r="J78" s="12">
        <x:f>F78+I78-G78-H78</x:f>
        <x:v>1</x:v>
      </x:c>
      <x:c r="K78" s="13">
        <x:f>J78/C78</x:f>
        <x:v>1</x:v>
      </x:c>
    </x:row>
    <x:row r="79" spans="1:11" ht="18" customHeight="1">
      <x:c r="A79" s="15" t="s">
        <x:v>13</x:v>
      </x:c>
      <x:c r="B79" s="14" t="s">
        <x:v>137</x:v>
      </x:c>
      <x:c r="C79" s="1">
        <x:v>1</x:v>
      </x:c>
      <x:c r="D79" s="9" t="s">
        <x:v>47</x:v>
      </x:c>
      <x:c r="F79" s="1">
        <x:v>8</x:v>
      </x:c>
      <x:c r="G79" s="1">
        <x:f>J6*C79</x:f>
        <x:v>0</x:v>
      </x:c>
      <x:c r="J79" s="12">
        <x:f>F79+I79-G79-H79</x:f>
        <x:v>8</x:v>
      </x:c>
      <x:c r="K79" s="13">
        <x:f>J79/C79</x:f>
        <x:v>8</x:v>
      </x:c>
    </x:row>
    <x:row r="80" spans="1:11" ht="18" customHeight="1">
      <x:c r="A80" s="15" t="s">
        <x:v>144</x:v>
      </x:c>
      <x:c r="B80" s="14" t="s">
        <x:v>62</x:v>
      </x:c>
      <x:c r="C80" s="1">
        <x:v>1</x:v>
      </x:c>
      <x:c r="D80" s="9" t="s">
        <x:v>83</x:v>
      </x:c>
      <x:c r="E80" s="1" t="s">
        <x:v>68</x:v>
      </x:c>
      <x:c r="F80" s="1">
        <x:v>35</x:v>
      </x:c>
      <x:c r="G80" s="1">
        <x:f>J4*C80</x:f>
        <x:v>0</x:v>
      </x:c>
      <x:c r="J80" s="12">
        <x:f>F80+I80-G80-H80</x:f>
        <x:v>35</x:v>
      </x:c>
      <x:c r="K80" s="13">
        <x:f>J80/C80</x:f>
        <x:v>35</x:v>
      </x:c>
    </x:row>
    <x:row r="81" spans="1:11" ht="18" customHeight="1">
      <x:c r="A81" s="15" t="s">
        <x:v>144</x:v>
      </x:c>
      <x:c r="B81" s="14" t="s">
        <x:v>62</x:v>
      </x:c>
      <x:c r="C81" s="1">
        <x:v>1</x:v>
      </x:c>
      <x:c r="D81" s="9" t="s">
        <x:v>41</x:v>
      </x:c>
      <x:c r="E81" s="1" t="s">
        <x:v>107</x:v>
      </x:c>
      <x:c r="F81" s="1">
        <x:v>0</x:v>
      </x:c>
      <x:c r="G81" s="1">
        <x:f>J5*C81</x:f>
        <x:v>0</x:v>
      </x:c>
      <x:c r="J81" s="12">
        <x:f>F81+I81-G81-H81</x:f>
        <x:v>0</x:v>
      </x:c>
      <x:c r="K81" s="13">
        <x:f>J81/C81</x:f>
        <x:v>0</x:v>
      </x:c>
    </x:row>
    <x:row r="82" spans="1:11" ht="18" customHeight="1">
      <x:c r="A82" s="15" t="s">
        <x:v>144</x:v>
      </x:c>
      <x:c r="B82" s="14" t="s">
        <x:v>62</x:v>
      </x:c>
      <x:c r="C82" s="1">
        <x:v>1</x:v>
      </x:c>
      <x:c r="D82" s="9" t="s">
        <x:v>47</x:v>
      </x:c>
      <x:c r="E82" s="1" t="s">
        <x:v>59</x:v>
      </x:c>
      <x:c r="F82" s="1">
        <x:v>44</x:v>
      </x:c>
      <x:c r="G82" s="1">
        <x:f>J6*C82</x:f>
        <x:v>0</x:v>
      </x:c>
      <x:c r="J82" s="12">
        <x:f>F82+I82-G82-H82</x:f>
        <x:v>44</x:v>
      </x:c>
      <x:c r="K82" s="13">
        <x:f>J82/C82</x:f>
        <x:v>44</x:v>
      </x:c>
    </x:row>
    <x:row r="83" spans="1:11" ht="18" customHeight="1">
      <x:c r="A83" s="15" t="s">
        <x:v>144</x:v>
      </x:c>
      <x:c r="B83" s="14" t="s">
        <x:v>62</x:v>
      </x:c>
      <x:c r="C83" s="1">
        <x:v>1</x:v>
      </x:c>
      <x:c r="D83" s="9" t="s">
        <x:v>73</x:v>
      </x:c>
      <x:c r="E83" s="1" t="s">
        <x:v>56</x:v>
      </x:c>
      <x:c r="F83" s="1">
        <x:v>37</x:v>
      </x:c>
      <x:c r="G83" s="1">
        <x:f>J7*C83</x:f>
        <x:v>2</x:v>
      </x:c>
      <x:c r="J83" s="12">
        <x:f>F83+I83-G83-H83</x:f>
        <x:v>35</x:v>
      </x:c>
      <x:c r="K83" s="13">
        <x:f>J83/C83</x:f>
        <x:v>35</x:v>
      </x:c>
    </x:row>
    <x:row r="84" spans="1:11" ht="18" customHeight="1">
      <x:c r="A84" s="15" t="s">
        <x:v>57</x:v>
      </x:c>
      <x:c r="B84" s="14" t="s">
        <x:v>112</x:v>
      </x:c>
      <x:c r="C84" s="1">
        <x:v>1</x:v>
      </x:c>
      <x:c r="D84" s="9" t="s">
        <x:v>83</x:v>
      </x:c>
      <x:c r="E84" s="1" t="s">
        <x:v>194</x:v>
      </x:c>
      <x:c r="F84" s="1">
        <x:v>41</x:v>
      </x:c>
      <x:c r="G84" s="1">
        <x:f>J4*C84</x:f>
        <x:v>0</x:v>
      </x:c>
      <x:c r="J84" s="12">
        <x:f>F84+I84-G84-H84</x:f>
        <x:v>41</x:v>
      </x:c>
      <x:c r="K84" s="13">
        <x:f>J84/C84</x:f>
        <x:v>41</x:v>
      </x:c>
    </x:row>
    <x:row r="85" spans="1:11" ht="18" customHeight="1">
      <x:c r="A85" s="15" t="s">
        <x:v>57</x:v>
      </x:c>
      <x:c r="B85" s="14" t="s">
        <x:v>112</x:v>
      </x:c>
      <x:c r="C85" s="1">
        <x:v>1</x:v>
      </x:c>
      <x:c r="D85" s="9" t="s">
        <x:v>41</x:v>
      </x:c>
      <x:c r="E85" s="1" t="s">
        <x:v>164</x:v>
      </x:c>
      <x:c r="F85" s="1">
        <x:v>1</x:v>
      </x:c>
      <x:c r="G85" s="1">
        <x:f>J5*C85</x:f>
        <x:v>0</x:v>
      </x:c>
      <x:c r="J85" s="12">
        <x:f>F85+I85-G85-H85</x:f>
        <x:v>1</x:v>
      </x:c>
      <x:c r="K85" s="13">
        <x:f>J85/C85</x:f>
        <x:v>1</x:v>
      </x:c>
    </x:row>
    <x:row r="86" spans="1:11" ht="18" customHeight="1">
      <x:c r="A86" s="15" t="s">
        <x:v>57</x:v>
      </x:c>
      <x:c r="B86" s="14" t="s">
        <x:v>112</x:v>
      </x:c>
      <x:c r="C86" s="1">
        <x:v>1</x:v>
      </x:c>
      <x:c r="D86" s="9" t="s">
        <x:v>47</x:v>
      </x:c>
      <x:c r="E86" s="1" t="s">
        <x:v>146</x:v>
      </x:c>
      <x:c r="F86" s="1">
        <x:v>36</x:v>
      </x:c>
      <x:c r="G86" s="1">
        <x:f>J6*C86</x:f>
        <x:v>0</x:v>
      </x:c>
      <x:c r="J86" s="12">
        <x:f>F86+I86-G86-H86</x:f>
        <x:v>36</x:v>
      </x:c>
      <x:c r="K86" s="13">
        <x:f>J86/C86</x:f>
        <x:v>36</x:v>
      </x:c>
    </x:row>
    <x:row r="87" spans="1:11" ht="18" customHeight="1">
      <x:c r="A87" s="15" t="s">
        <x:v>57</x:v>
      </x:c>
      <x:c r="B87" s="14" t="s">
        <x:v>112</x:v>
      </x:c>
      <x:c r="C87" s="1">
        <x:v>1</x:v>
      </x:c>
      <x:c r="D87" s="9" t="s">
        <x:v>73</x:v>
      </x:c>
      <x:c r="E87" s="1" t="s">
        <x:v>146</x:v>
      </x:c>
      <x:c r="F87" s="1">
        <x:v>36</x:v>
      </x:c>
      <x:c r="G87" s="1">
        <x:f>J7*C87</x:f>
        <x:v>2</x:v>
      </x:c>
      <x:c r="J87" s="12">
        <x:f>F87+I87-G87-H87</x:f>
        <x:v>34</x:v>
      </x:c>
      <x:c r="K87" s="13">
        <x:f>J87/C87</x:f>
        <x:v>34</x:v>
      </x:c>
    </x:row>
    <x:row r="88" spans="1:11" customFormat="1" ht="18" customHeight="1">
      <x:c r="A88" s="15" t="s">
        <x:v>149</x:v>
      </x:c>
      <x:c r="B88" s="14" t="s">
        <x:v>143</x:v>
      </x:c>
      <x:c r="C88" s="1">
        <x:v>1</x:v>
      </x:c>
      <x:c r="D88" s="14" t="s">
        <x:v>246</x:v>
      </x:c>
      <x:c r="E88" s="1" t="s">
        <x:v>289</x:v>
      </x:c>
      <x:c r="F88" s="1">
        <x:v>1</x:v>
      </x:c>
      <x:c r="G88" s="1">
        <x:f>SUM(H4:H5)*C88</x:f>
        <x:v>0</x:v>
      </x:c>
      <x:c r="H88" s="1"/>
      <x:c r="I88" s="1"/>
      <x:c r="J88" s="12">
        <x:f>F88+I88-G88-H88</x:f>
        <x:v>1</x:v>
      </x:c>
      <x:c r="K88" s="13">
        <x:f>J88/C88</x:f>
        <x:v>1</x:v>
      </x:c>
    </x:row>
    <x:row r="89" spans="1:11" customFormat="1" ht="18" customHeight="1">
      <x:c r="A89" s="15" t="s">
        <x:v>149</x:v>
      </x:c>
      <x:c r="B89" s="14" t="s">
        <x:v>143</x:v>
      </x:c>
      <x:c r="C89" s="1">
        <x:v>1</x:v>
      </x:c>
      <x:c r="D89" s="14" t="s">
        <x:v>246</x:v>
      </x:c>
      <x:c r="E89" s="6" t="s">
        <x:v>162</x:v>
      </x:c>
      <x:c r="F89" s="1">
        <x:v>3</x:v>
      </x:c>
      <x:c r="G89" s="1">
        <x:f>SUM(H4:H5)*C89</x:f>
        <x:v>0</x:v>
      </x:c>
      <x:c r="H89" s="1"/>
      <x:c r="I89" s="1"/>
      <x:c r="J89" s="12">
        <x:f>F89+I89-G89-H89</x:f>
        <x:v>3</x:v>
      </x:c>
      <x:c r="K89" s="13">
        <x:f>J89/C89</x:f>
        <x:v>3</x:v>
      </x:c>
    </x:row>
    <x:row r="90" spans="1:11" customFormat="1" ht="18" customHeight="1">
      <x:c r="A90" s="15" t="s">
        <x:v>149</x:v>
      </x:c>
      <x:c r="B90" s="14" t="s">
        <x:v>143</x:v>
      </x:c>
      <x:c r="C90" s="1">
        <x:v>1</x:v>
      </x:c>
      <x:c r="D90" s="14" t="s">
        <x:v>23</x:v>
      </x:c>
      <x:c r="E90" s="1" t="s">
        <x:v>289</x:v>
      </x:c>
      <x:c r="F90" s="1"/>
      <x:c r="G90" s="1">
        <x:f>H2*C90</x:f>
        <x:v>0</x:v>
      </x:c>
      <x:c r="H90" s="1"/>
      <x:c r="I90" s="1"/>
      <x:c r="J90" s="12">
        <x:f>F90+I90-G90-H90</x:f>
        <x:v>0</x:v>
      </x:c>
      <x:c r="K90" s="13">
        <x:f>J90/C90</x:f>
        <x:v>0</x:v>
      </x:c>
    </x:row>
    <x:row r="91" spans="1:11" customFormat="1" ht="18" customHeight="1">
      <x:c r="A91" s="15" t="s">
        <x:v>149</x:v>
      </x:c>
      <x:c r="B91" s="14" t="s">
        <x:v>143</x:v>
      </x:c>
      <x:c r="C91" s="1">
        <x:v>1</x:v>
      </x:c>
      <x:c r="D91" s="14" t="s">
        <x:v>23</x:v>
      </x:c>
      <x:c r="E91" s="6" t="s">
        <x:v>162</x:v>
      </x:c>
      <x:c r="F91" s="1"/>
      <x:c r="G91" s="1">
        <x:f>H2*C91</x:f>
        <x:v>0</x:v>
      </x:c>
      <x:c r="H91" s="1"/>
      <x:c r="I91" s="1"/>
      <x:c r="J91" s="12">
        <x:f>F91+I91-G91-H91</x:f>
        <x:v>0</x:v>
      </x:c>
      <x:c r="K91" s="13">
        <x:f>J91/C91</x:f>
        <x:v>0</x:v>
      </x:c>
    </x:row>
    <x:row r="92" spans="1:11" customFormat="1" ht="18" customHeight="1">
      <x:c r="A92" s="15" t="s">
        <x:v>149</x:v>
      </x:c>
      <x:c r="B92" s="14" t="s">
        <x:v>143</x:v>
      </x:c>
      <x:c r="C92" s="1">
        <x:v>1</x:v>
      </x:c>
      <x:c r="D92" s="14" t="s">
        <x:v>51</x:v>
      </x:c>
      <x:c r="E92" s="1" t="s">
        <x:v>289</x:v>
      </x:c>
      <x:c r="F92" s="1">
        <x:v>4</x:v>
      </x:c>
      <x:c r="G92" s="1">
        <x:f>H5</x:f>
        <x:v>0</x:v>
      </x:c>
      <x:c r="H92" s="1"/>
      <x:c r="I92" s="1"/>
      <x:c r="J92" s="12">
        <x:f>F92+I92-G92-H92</x:f>
        <x:v>4</x:v>
      </x:c>
      <x:c r="K92" s="13">
        <x:f>J92/C92</x:f>
        <x:v>4</x:v>
      </x:c>
    </x:row>
    <x:row r="93" spans="1:11" customFormat="1" ht="18" customHeight="1">
      <x:c r="A93" s="15" t="s">
        <x:v>149</x:v>
      </x:c>
      <x:c r="B93" s="14" t="s">
        <x:v>143</x:v>
      </x:c>
      <x:c r="C93" s="1">
        <x:v>1</x:v>
      </x:c>
      <x:c r="D93" s="14" t="s">
        <x:v>51</x:v>
      </x:c>
      <x:c r="E93" s="6" t="s">
        <x:v>162</x:v>
      </x:c>
      <x:c r="F93" s="1">
        <x:v>4</x:v>
      </x:c>
      <x:c r="G93" s="1">
        <x:f>H5</x:f>
        <x:v>0</x:v>
      </x:c>
      <x:c r="H93" s="1"/>
      <x:c r="I93" s="1"/>
      <x:c r="J93" s="12">
        <x:f>F93+I93-G93-H93</x:f>
        <x:v>4</x:v>
      </x:c>
      <x:c r="K93" s="13">
        <x:f>J93/C93</x:f>
        <x:v>4</x:v>
      </x:c>
    </x:row>
    <x:row r="94" spans="1:11" customFormat="1" ht="18" customHeight="1">
      <x:c r="A94" s="15" t="s">
        <x:v>149</x:v>
      </x:c>
      <x:c r="B94" s="14" t="s">
        <x:v>143</x:v>
      </x:c>
      <x:c r="C94" s="1">
        <x:v>1</x:v>
      </x:c>
      <x:c r="D94" s="14" t="s">
        <x:v>234</x:v>
      </x:c>
      <x:c r="E94" s="1" t="s">
        <x:v>289</x:v>
      </x:c>
      <x:c r="F94" s="1">
        <x:v>44</x:v>
      </x:c>
      <x:c r="G94" s="1">
        <x:f>SUM(H10,H6)</x:f>
        <x:v>0</x:v>
      </x:c>
      <x:c r="H94" s="1"/>
      <x:c r="I94" s="1"/>
      <x:c r="J94" s="12">
        <x:f>F94+I94-G94-H94</x:f>
        <x:v>44</x:v>
      </x:c>
      <x:c r="K94" s="13">
        <x:f>J94/C94</x:f>
        <x:v>44</x:v>
      </x:c>
    </x:row>
    <x:row r="95" spans="1:11" customFormat="1" ht="18" customHeight="1">
      <x:c r="A95" s="15" t="s">
        <x:v>149</x:v>
      </x:c>
      <x:c r="B95" s="14" t="s">
        <x:v>143</x:v>
      </x:c>
      <x:c r="C95" s="1">
        <x:v>1</x:v>
      </x:c>
      <x:c r="D95" s="14" t="s">
        <x:v>234</x:v>
      </x:c>
      <x:c r="E95" s="6" t="s">
        <x:v>162</x:v>
      </x:c>
      <x:c r="F95" s="1">
        <x:v>44</x:v>
      </x:c>
      <x:c r="G95" s="1">
        <x:f>SUM(H6,H10)</x:f>
        <x:v>0</x:v>
      </x:c>
      <x:c r="H95" s="1"/>
      <x:c r="I95" s="1"/>
      <x:c r="J95" s="12">
        <x:f>F95+I95-G95-H95</x:f>
        <x:v>44</x:v>
      </x:c>
      <x:c r="K95" s="13">
        <x:f>J95/C95</x:f>
        <x:v>44</x:v>
      </x:c>
    </x:row>
    <x:row r="96" spans="1:11" customFormat="1" ht="18" customHeight="1">
      <x:c r="A96" s="15" t="s">
        <x:v>149</x:v>
      </x:c>
      <x:c r="B96" s="14" t="s">
        <x:v>143</x:v>
      </x:c>
      <x:c r="C96" s="1">
        <x:v>1</x:v>
      </x:c>
      <x:c r="D96" s="14" t="s">
        <x:v>44</x:v>
      </x:c>
      <x:c r="E96" s="1" t="s">
        <x:v>289</x:v>
      </x:c>
      <x:c r="F96" s="1">
        <x:v>26</x:v>
      </x:c>
      <x:c r="G96" s="1">
        <x:f>H7</x:f>
        <x:v>0</x:v>
      </x:c>
      <x:c r="H96" s="1"/>
      <x:c r="I96" s="1"/>
      <x:c r="J96" s="12">
        <x:f>F96+I96-G96-H96</x:f>
        <x:v>26</x:v>
      </x:c>
      <x:c r="K96" s="13">
        <x:f>J96/C96</x:f>
        <x:v>26</x:v>
      </x:c>
    </x:row>
    <x:row r="97" spans="1:11" customFormat="1" ht="18" customHeight="1">
      <x:c r="A97" s="15" t="s">
        <x:v>149</x:v>
      </x:c>
      <x:c r="B97" s="14" t="s">
        <x:v>143</x:v>
      </x:c>
      <x:c r="C97" s="1">
        <x:v>1</x:v>
      </x:c>
      <x:c r="D97" s="14" t="s">
        <x:v>44</x:v>
      </x:c>
      <x:c r="E97" s="6" t="s">
        <x:v>162</x:v>
      </x:c>
      <x:c r="F97" s="1">
        <x:v>26</x:v>
      </x:c>
      <x:c r="G97" s="1">
        <x:f>H7</x:f>
        <x:v>0</x:v>
      </x:c>
      <x:c r="H97" s="1"/>
      <x:c r="I97" s="1"/>
      <x:c r="J97" s="12">
        <x:f>F97+I97-G97-H97</x:f>
        <x:v>26</x:v>
      </x:c>
      <x:c r="K97" s="13">
        <x:f>J97/C97</x:f>
        <x:v>26</x:v>
      </x:c>
    </x:row>
    <x:row r="98" spans="1:11" customFormat="1" ht="18" customHeight="1">
      <x:c r="A98" s="15" t="s">
        <x:v>149</x:v>
      </x:c>
      <x:c r="B98" s="14" t="s">
        <x:v>143</x:v>
      </x:c>
      <x:c r="C98" s="1">
        <x:v>1</x:v>
      </x:c>
      <x:c r="D98" s="14" t="s">
        <x:v>76</x:v>
      </x:c>
      <x:c r="E98" s="1" t="s">
        <x:v>289</x:v>
      </x:c>
      <x:c r="F98" s="1"/>
      <x:c r="G98" s="1">
        <x:f>H8</x:f>
        <x:v>0</x:v>
      </x:c>
      <x:c r="H98" s="1"/>
      <x:c r="I98" s="1"/>
      <x:c r="J98" s="12">
        <x:f>F98+I98-G98-H98</x:f>
        <x:v>0</x:v>
      </x:c>
      <x:c r="K98" s="13">
        <x:f>J98/C98</x:f>
        <x:v>0</x:v>
      </x:c>
    </x:row>
    <x:row r="99" spans="1:11" customFormat="1" ht="18" customHeight="1">
      <x:c r="A99" s="15" t="s">
        <x:v>149</x:v>
      </x:c>
      <x:c r="B99" s="14" t="s">
        <x:v>143</x:v>
      </x:c>
      <x:c r="C99" s="1">
        <x:v>1</x:v>
      </x:c>
      <x:c r="D99" s="14" t="s">
        <x:v>76</x:v>
      </x:c>
      <x:c r="E99" s="6" t="s">
        <x:v>162</x:v>
      </x:c>
      <x:c r="F99" s="1"/>
      <x:c r="G99" s="1">
        <x:f>H8</x:f>
        <x:v>0</x:v>
      </x:c>
      <x:c r="H99" s="1"/>
      <x:c r="I99" s="1"/>
      <x:c r="J99" s="12">
        <x:f>F99+I99-G99-H99</x:f>
        <x:v>0</x:v>
      </x:c>
      <x:c r="K99" s="13">
        <x:f>J99/C99</x:f>
        <x:v>0</x:v>
      </x:c>
    </x:row>
    <x:row r="100" spans="1:11" customFormat="1" ht="18" customHeight="1">
      <x:c r="A100" s="15" t="s">
        <x:v>149</x:v>
      </x:c>
      <x:c r="B100" s="14" t="s">
        <x:v>143</x:v>
      </x:c>
      <x:c r="C100" s="1">
        <x:v>1</x:v>
      </x:c>
      <x:c r="D100" s="14" t="s">
        <x:v>6</x:v>
      </x:c>
      <x:c r="E100" s="1" t="s">
        <x:v>289</x:v>
      </x:c>
      <x:c r="F100" s="1">
        <x:v>6</x:v>
      </x:c>
      <x:c r="G100" s="1">
        <x:f>SUM(H9,H11)*C100</x:f>
        <x:v>0</x:v>
      </x:c>
      <x:c r="H100" s="1"/>
      <x:c r="I100" s="1"/>
      <x:c r="J100" s="12">
        <x:f>F100+I100-G100-H100</x:f>
        <x:v>6</x:v>
      </x:c>
      <x:c r="K100" s="13">
        <x:f>J100/C100</x:f>
        <x:v>6</x:v>
      </x:c>
    </x:row>
    <x:row r="101" spans="1:11" customFormat="1" ht="18" customHeight="1">
      <x:c r="A101" s="15" t="s">
        <x:v>149</x:v>
      </x:c>
      <x:c r="B101" s="14" t="s">
        <x:v>143</x:v>
      </x:c>
      <x:c r="C101" s="1">
        <x:v>1</x:v>
      </x:c>
      <x:c r="D101" s="14" t="s">
        <x:v>6</x:v>
      </x:c>
      <x:c r="E101" s="6" t="s">
        <x:v>162</x:v>
      </x:c>
      <x:c r="F101" s="1">
        <x:v>6</x:v>
      </x:c>
      <x:c r="G101" s="1">
        <x:f>SUM(H9,H11)*C101</x:f>
        <x:v>0</x:v>
      </x:c>
      <x:c r="H101" s="1"/>
      <x:c r="I101" s="1"/>
      <x:c r="J101" s="12">
        <x:f>F101+I101-G101-H101</x:f>
        <x:v>6</x:v>
      </x:c>
      <x:c r="K101" s="13">
        <x:f>J101/C101</x:f>
        <x:v>6</x:v>
      </x:c>
    </x:row>
    <x:row r="102" spans="1:11" customFormat="1" ht="18" customHeight="1">
      <x:c r="A102" s="15" t="s">
        <x:v>149</x:v>
      </x:c>
      <x:c r="B102" s="14" t="s">
        <x:v>143</x:v>
      </x:c>
      <x:c r="C102" s="1">
        <x:v>1</x:v>
      </x:c>
      <x:c r="D102" s="14" t="s">
        <x:v>239</x:v>
      </x:c>
      <x:c r="E102" s="1" t="s">
        <x:v>289</x:v>
      </x:c>
      <x:c r="F102" s="1">
        <x:v>36</x:v>
      </x:c>
      <x:c r="G102" s="1">
        <x:f>SUM(H12,H13,H14)</x:f>
        <x:v>0</x:v>
      </x:c>
      <x:c r="H102" s="1"/>
      <x:c r="I102" s="1"/>
      <x:c r="J102" s="12">
        <x:f>F102+I102-G102-H102</x:f>
        <x:v>36</x:v>
      </x:c>
      <x:c r="K102" s="13">
        <x:f>J102/C102</x:f>
        <x:v>36</x:v>
      </x:c>
    </x:row>
    <x:row r="103" spans="1:11" customFormat="1" ht="18" customHeight="1">
      <x:c r="A103" s="15" t="s">
        <x:v>149</x:v>
      </x:c>
      <x:c r="B103" s="14" t="s">
        <x:v>143</x:v>
      </x:c>
      <x:c r="C103" s="1">
        <x:v>1</x:v>
      </x:c>
      <x:c r="D103" s="14" t="s">
        <x:v>239</x:v>
      </x:c>
      <x:c r="E103" s="6" t="s">
        <x:v>162</x:v>
      </x:c>
      <x:c r="F103" s="1">
        <x:v>36</x:v>
      </x:c>
      <x:c r="G103" s="1">
        <x:f>SUM(H12,H13,H14)</x:f>
        <x:v>0</x:v>
      </x:c>
      <x:c r="H103" s="1"/>
      <x:c r="I103" s="1"/>
      <x:c r="J103" s="12">
        <x:f>F103+I103-G103-H103</x:f>
        <x:v>36</x:v>
      </x:c>
      <x:c r="K103" s="13">
        <x:f>J103/C103</x:f>
        <x:v>36</x:v>
      </x:c>
    </x:row>
    <x:row r="104" spans="1:11" customFormat="1" ht="18" customHeight="1">
      <x:c r="A104" s="15" t="s">
        <x:v>149</x:v>
      </x:c>
      <x:c r="B104" s="14" t="s">
        <x:v>143</x:v>
      </x:c>
      <x:c r="C104" s="1">
        <x:v>1</x:v>
      </x:c>
      <x:c r="D104" s="14" t="s">
        <x:v>70</x:v>
      </x:c>
      <x:c r="E104" s="1" t="s">
        <x:v>289</x:v>
      </x:c>
      <x:c r="F104" s="1">
        <x:v>24</x:v>
      </x:c>
      <x:c r="G104" s="1">
        <x:f>H15</x:f>
        <x:v>0</x:v>
      </x:c>
      <x:c r="H104" s="1"/>
      <x:c r="I104" s="1"/>
      <x:c r="J104" s="12">
        <x:f>F104+I104-G104-H104</x:f>
        <x:v>24</x:v>
      </x:c>
      <x:c r="K104" s="13">
        <x:f>J104/C104</x:f>
        <x:v>24</x:v>
      </x:c>
    </x:row>
    <x:row r="105" spans="1:11" customFormat="1" ht="18" customHeight="1">
      <x:c r="A105" s="15" t="s">
        <x:v>149</x:v>
      </x:c>
      <x:c r="B105" s="14" t="s">
        <x:v>143</x:v>
      </x:c>
      <x:c r="C105" s="1">
        <x:v>1</x:v>
      </x:c>
      <x:c r="D105" s="14" t="s">
        <x:v>70</x:v>
      </x:c>
      <x:c r="E105" s="6" t="s">
        <x:v>162</x:v>
      </x:c>
      <x:c r="F105" s="1">
        <x:v>24</x:v>
      </x:c>
      <x:c r="G105" s="1">
        <x:f>H15</x:f>
        <x:v>0</x:v>
      </x:c>
      <x:c r="H105" s="1"/>
      <x:c r="I105" s="1"/>
      <x:c r="J105" s="12">
        <x:f>F105+I105-G105-H105</x:f>
        <x:v>24</x:v>
      </x:c>
      <x:c r="K105" s="13">
        <x:f>J105/C105</x:f>
        <x:v>24</x:v>
      </x:c>
    </x:row>
    <x:row r="106" spans="1:11" customFormat="1" ht="18" customHeight="1">
      <x:c r="A106" s="15" t="s">
        <x:v>149</x:v>
      </x:c>
      <x:c r="B106" s="14" t="s">
        <x:v>137</x:v>
      </x:c>
      <x:c r="C106" s="1">
        <x:v>1</x:v>
      </x:c>
      <x:c r="D106" s="14" t="s">
        <x:v>83</x:v>
      </x:c>
      <x:c r="E106" s="1" t="s">
        <x:v>289</x:v>
      </x:c>
      <x:c r="F106" s="1">
        <x:v>0</x:v>
      </x:c>
      <x:c r="G106" s="1">
        <x:f>J4</x:f>
        <x:v>0</x:v>
      </x:c>
      <x:c r="H106" s="1"/>
      <x:c r="I106" s="1"/>
      <x:c r="J106" s="12">
        <x:f>F106+I106-G106-H106</x:f>
        <x:v>0</x:v>
      </x:c>
      <x:c r="K106" s="13">
        <x:f>J106/C106</x:f>
        <x:v>0</x:v>
      </x:c>
    </x:row>
    <x:row r="107" spans="1:11" customFormat="1" ht="18" customHeight="1">
      <x:c r="A107" s="15" t="s">
        <x:v>149</x:v>
      </x:c>
      <x:c r="B107" s="14" t="s">
        <x:v>137</x:v>
      </x:c>
      <x:c r="C107" s="1">
        <x:v>1</x:v>
      </x:c>
      <x:c r="D107" s="14" t="s">
        <x:v>83</x:v>
      </x:c>
      <x:c r="E107" s="6" t="s">
        <x:v>162</x:v>
      </x:c>
      <x:c r="F107" s="1">
        <x:v>0</x:v>
      </x:c>
      <x:c r="G107" s="1">
        <x:f>J4</x:f>
        <x:v>0</x:v>
      </x:c>
      <x:c r="H107" s="1"/>
      <x:c r="I107" s="1"/>
      <x:c r="J107" s="12">
        <x:f>F107+I107-G107-H107</x:f>
        <x:v>0</x:v>
      </x:c>
      <x:c r="K107" s="13">
        <x:f>J107/C107</x:f>
        <x:v>0</x:v>
      </x:c>
    </x:row>
    <x:row r="108" spans="1:11" customFormat="1" ht="18" customHeight="1">
      <x:c r="A108" s="15" t="s">
        <x:v>149</x:v>
      </x:c>
      <x:c r="B108" s="14" t="s">
        <x:v>137</x:v>
      </x:c>
      <x:c r="C108" s="1">
        <x:v>1</x:v>
      </x:c>
      <x:c r="D108" s="14" t="s">
        <x:v>41</x:v>
      </x:c>
      <x:c r="E108" s="1" t="s">
        <x:v>289</x:v>
      </x:c>
      <x:c r="F108" s="1">
        <x:v>0</x:v>
      </x:c>
      <x:c r="G108" s="1">
        <x:f>J5</x:f>
        <x:v>0</x:v>
      </x:c>
      <x:c r="H108" s="1"/>
      <x:c r="I108" s="1"/>
      <x:c r="J108" s="12">
        <x:f>F108+I108-G108-H108</x:f>
        <x:v>0</x:v>
      </x:c>
      <x:c r="K108" s="13">
        <x:f>J108/C108</x:f>
        <x:v>0</x:v>
      </x:c>
    </x:row>
    <x:row r="109" spans="1:11" customFormat="1" ht="18" customHeight="1">
      <x:c r="A109" s="15" t="s">
        <x:v>149</x:v>
      </x:c>
      <x:c r="B109" s="14" t="s">
        <x:v>137</x:v>
      </x:c>
      <x:c r="C109" s="1">
        <x:v>1</x:v>
      </x:c>
      <x:c r="D109" s="14" t="s">
        <x:v>41</x:v>
      </x:c>
      <x:c r="E109" s="6" t="s">
        <x:v>162</x:v>
      </x:c>
      <x:c r="F109" s="1">
        <x:v>0</x:v>
      </x:c>
      <x:c r="G109" s="1">
        <x:f>J5</x:f>
        <x:v>0</x:v>
      </x:c>
      <x:c r="H109" s="1"/>
      <x:c r="I109" s="1"/>
      <x:c r="J109" s="12">
        <x:f>F109+I109-G109-H109</x:f>
        <x:v>0</x:v>
      </x:c>
      <x:c r="K109" s="13">
        <x:f>J109/C109</x:f>
        <x:v>0</x:v>
      </x:c>
    </x:row>
    <x:row r="110" spans="1:11" customFormat="1" ht="18" customHeight="1">
      <x:c r="A110" s="15" t="s">
        <x:v>149</x:v>
      </x:c>
      <x:c r="B110" s="14" t="s">
        <x:v>143</x:v>
      </x:c>
      <x:c r="C110" s="1">
        <x:v>1</x:v>
      </x:c>
      <x:c r="D110" s="14" t="s">
        <x:v>47</x:v>
      </x:c>
      <x:c r="E110" s="1" t="s">
        <x:v>289</x:v>
      </x:c>
      <x:c r="F110" s="1">
        <x:v>9</x:v>
      </x:c>
      <x:c r="G110" s="1">
        <x:f>J6</x:f>
        <x:v>0</x:v>
      </x:c>
      <x:c r="H110" s="1"/>
      <x:c r="I110" s="1"/>
      <x:c r="J110" s="12">
        <x:f>F110+I110-G110-H110</x:f>
        <x:v>9</x:v>
      </x:c>
      <x:c r="K110" s="13">
        <x:f>J110/C110</x:f>
        <x:v>9</x:v>
      </x:c>
    </x:row>
    <x:row r="111" spans="1:11" customFormat="1" ht="18" customHeight="1">
      <x:c r="A111" s="15" t="s">
        <x:v>149</x:v>
      </x:c>
      <x:c r="B111" s="14" t="s">
        <x:v>143</x:v>
      </x:c>
      <x:c r="C111" s="1">
        <x:v>1</x:v>
      </x:c>
      <x:c r="D111" s="14" t="s">
        <x:v>47</x:v>
      </x:c>
      <x:c r="E111" s="6" t="s">
        <x:v>162</x:v>
      </x:c>
      <x:c r="F111" s="1">
        <x:v>9</x:v>
      </x:c>
      <x:c r="G111" s="1">
        <x:f>J6</x:f>
        <x:v>0</x:v>
      </x:c>
      <x:c r="H111" s="1"/>
      <x:c r="I111" s="1"/>
      <x:c r="J111" s="12">
        <x:f>F111+I111-G111-H111</x:f>
        <x:v>9</x:v>
      </x:c>
      <x:c r="K111" s="13">
        <x:f>J111/C111</x:f>
        <x:v>9</x:v>
      </x:c>
    </x:row>
    <x:row r="112" spans="1:11" customFormat="1" ht="18" customHeight="1">
      <x:c r="A112" s="15" t="s">
        <x:v>149</x:v>
      </x:c>
      <x:c r="B112" s="14" t="s">
        <x:v>143</x:v>
      </x:c>
      <x:c r="C112" s="1">
        <x:v>1</x:v>
      </x:c>
      <x:c r="D112" s="14" t="s">
        <x:v>73</x:v>
      </x:c>
      <x:c r="E112" s="1" t="s">
        <x:v>289</x:v>
      </x:c>
      <x:c r="F112" s="1">
        <x:v>7</x:v>
      </x:c>
      <x:c r="G112" s="1">
        <x:f>J7</x:f>
        <x:v>2</x:v>
      </x:c>
      <x:c r="H112" s="1"/>
      <x:c r="I112" s="1"/>
      <x:c r="J112" s="12">
        <x:f>F112+I112-G112-H112</x:f>
        <x:v>5</x:v>
      </x:c>
      <x:c r="K112" s="13">
        <x:f>J112/C112</x:f>
        <x:v>5</x:v>
      </x:c>
    </x:row>
    <x:row r="113" spans="1:11" customFormat="1" ht="18" customHeight="1">
      <x:c r="A113" s="15" t="s">
        <x:v>149</x:v>
      </x:c>
      <x:c r="B113" s="14" t="s">
        <x:v>143</x:v>
      </x:c>
      <x:c r="C113" s="1">
        <x:v>1</x:v>
      </x:c>
      <x:c r="D113" s="14" t="s">
        <x:v>73</x:v>
      </x:c>
      <x:c r="E113" s="6" t="s">
        <x:v>162</x:v>
      </x:c>
      <x:c r="F113" s="1">
        <x:v>7</x:v>
      </x:c>
      <x:c r="G113" s="1">
        <x:f>J7</x:f>
        <x:v>2</x:v>
      </x:c>
      <x:c r="H113" s="1"/>
      <x:c r="I113" s="1"/>
      <x:c r="J113" s="12">
        <x:f>F113+I113-G113-H113</x:f>
        <x:v>5</x:v>
      </x:c>
      <x:c r="K113" s="13">
        <x:f>J113/C113</x:f>
        <x:v>5</x:v>
      </x:c>
    </x:row>
    <x:row r="114" spans="1:11" customHeight="1">
      <x:c r="A114" s="15" t="s">
        <x:v>163</x:v>
      </x:c>
      <x:c r="B114" s="14" t="s">
        <x:v>143</x:v>
      </x:c>
      <x:c r="C114" s="2">
        <x:v>16</x:v>
      </x:c>
      <x:c r="D114" s="9" t="s">
        <x:v>241</x:v>
      </x:c>
      <x:c r="E114" s="1" t="s">
        <x:v>35</x:v>
      </x:c>
      <x:c r="F114" s="1">
        <x:v>916</x:v>
      </x:c>
      <x:c r="G114" s="1">
        <x:f>SUM(H4:H11)*16+SUM(H12:H14)*8</x:f>
        <x:v>0</x:v>
      </x:c>
      <x:c r="J114" s="12">
        <x:f>F114+I114-G114-H114</x:f>
        <x:v>916</x:v>
      </x:c>
      <x:c r="K114" s="13">
        <x:f>J114/C114</x:f>
        <x:v>57.25</x:v>
      </x:c>
    </x:row>
    <x:row r="115" spans="1:11">
      <x:c r="A115" s="15" t="s">
        <x:v>163</x:v>
      </x:c>
      <x:c r="B115" s="14" t="s">
        <x:v>143</x:v>
      </x:c>
      <x:c r="C115" s="2">
        <x:v>8</x:v>
      </x:c>
      <x:c r="D115" s="9" t="s">
        <x:v>241</x:v>
      </x:c>
      <x:c r="E115" s="1" t="s">
        <x:v>54</x:v>
      </x:c>
      <x:c r="F115" s="1">
        <x:v>1190</x:v>
      </x:c>
      <x:c r="G115" s="1">
        <x:f>SUM(H4:H11)*8+SUM(H12:H14)*8</x:f>
        <x:v>0</x:v>
      </x:c>
      <x:c r="J115" s="12">
        <x:f>F115+I115-G115-H115</x:f>
        <x:v>1190</x:v>
      </x:c>
      <x:c r="K115" s="13">
        <x:f>J115/C115</x:f>
        <x:v>148.75</x:v>
      </x:c>
    </x:row>
    <x:row r="116" spans="1:11">
      <x:c r="A116" s="15" t="s">
        <x:v>163</x:v>
      </x:c>
      <x:c r="B116" s="14" t="s">
        <x:v>143</x:v>
      </x:c>
      <x:c r="C116" s="2">
        <x:v>8</x:v>
      </x:c>
      <x:c r="D116" s="9" t="s">
        <x:v>70</x:v>
      </x:c>
      <x:c r="E116" s="1" t="s">
        <x:v>20</x:v>
      </x:c>
      <x:c r="F116" s="1">
        <x:v>740</x:v>
      </x:c>
      <x:c r="G116" s="1">
        <x:f>SUM(H15)*C116</x:f>
        <x:v>0</x:v>
      </x:c>
      <x:c r="J116" s="12">
        <x:f>F116+I116-G116-H116</x:f>
        <x:v>740</x:v>
      </x:c>
      <x:c r="K116" s="13">
        <x:f>J116/C116</x:f>
        <x:v>92.5</x:v>
      </x:c>
    </x:row>
    <x:row r="117" spans="1:11">
      <x:c r="A117" s="15" t="s">
        <x:v>163</x:v>
      </x:c>
      <x:c r="B117" s="14" t="s">
        <x:v>143</x:v>
      </x:c>
      <x:c r="C117" s="2">
        <x:v>4</x:v>
      </x:c>
      <x:c r="D117" s="9" t="s">
        <x:v>239</x:v>
      </x:c>
      <x:c r="E117" s="1" t="s">
        <x:v>58</x:v>
      </x:c>
      <x:c r="F117" s="1">
        <x:v>130</x:v>
      </x:c>
      <x:c r="G117" s="1">
        <x:f>SUM(H12:H14)*C117</x:f>
        <x:v>0</x:v>
      </x:c>
      <x:c r="J117" s="12">
        <x:f>F117+I117-G117-H117</x:f>
        <x:v>130</x:v>
      </x:c>
      <x:c r="K117" s="13">
        <x:f>J117/C117</x:f>
        <x:v>32.5</x:v>
      </x:c>
    </x:row>
    <x:row r="118" spans="1:11">
      <x:c r="A118" s="15" t="s">
        <x:v>163</x:v>
      </x:c>
      <x:c r="B118" s="14" t="s">
        <x:v>143</x:v>
      </x:c>
      <x:c r="C118" s="2">
        <x:v>8</x:v>
      </x:c>
      <x:c r="D118" s="9" t="s">
        <x:v>70</x:v>
      </x:c>
      <x:c r="E118" s="1" t="s">
        <x:v>77</x:v>
      </x:c>
      <x:c r="F118" s="1">
        <x:v>440</x:v>
      </x:c>
      <x:c r="G118" s="1">
        <x:f>H15*8</x:f>
        <x:v>0</x:v>
      </x:c>
      <x:c r="J118" s="12">
        <x:f>F118+I118-G118-H118</x:f>
        <x:v>440</x:v>
      </x:c>
      <x:c r="K118" s="13">
        <x:f>J118/C118</x:f>
        <x:v>55</x:v>
      </x:c>
    </x:row>
    <x:row r="119" spans="1:11">
      <x:c r="A119" s="15" t="s">
        <x:v>163</x:v>
      </x:c>
      <x:c r="B119" s="14" t="s">
        <x:v>143</x:v>
      </x:c>
      <x:c r="C119" s="2">
        <x:v>8</x:v>
      </x:c>
      <x:c r="D119" s="9" t="s">
        <x:v>277</x:v>
      </x:c>
      <x:c r="E119" s="1" t="s">
        <x:v>28</x:v>
      </x:c>
      <x:c r="F119" s="1">
        <x:v>465</x:v>
      </x:c>
      <x:c r="G119" s="1">
        <x:f>SUM(H15,J7)*C119</x:f>
        <x:v>16</x:v>
      </x:c>
      <x:c r="J119" s="12">
        <x:f>F119+I119-G119-H119</x:f>
        <x:v>449</x:v>
      </x:c>
      <x:c r="K119" s="13">
        <x:f>J119/C119</x:f>
        <x:v>56.125</x:v>
      </x:c>
    </x:row>
    <x:row r="120" spans="1:11">
      <x:c r="A120" s="15" t="s">
        <x:v>163</x:v>
      </x:c>
      <x:c r="B120" s="14" t="s">
        <x:v>143</x:v>
      </x:c>
      <x:c r="C120" s="2">
        <x:v>8</x:v>
      </x:c>
      <x:c r="D120" s="9" t="s">
        <x:v>24</x:v>
      </x:c>
      <x:c r="E120" s="1" t="s">
        <x:v>46</x:v>
      </x:c>
      <x:c r="F120" s="1">
        <x:v>107</x:v>
      </x:c>
      <x:c r="G120" s="1">
        <x:f>J6*C120</x:f>
        <x:v>0</x:v>
      </x:c>
      <x:c r="J120" s="12">
        <x:f>F120+I120-G120-H120</x:f>
        <x:v>107</x:v>
      </x:c>
      <x:c r="K120" s="13">
        <x:f>J120/C120</x:f>
        <x:v>13.375</x:v>
      </x:c>
    </x:row>
    <x:row r="121" spans="1:11">
      <x:c r="A121" s="15" t="s">
        <x:v>163</x:v>
      </x:c>
      <x:c r="B121" s="14" t="s">
        <x:v>143</x:v>
      </x:c>
      <x:c r="C121" s="2">
        <x:v>4</x:v>
      </x:c>
      <x:c r="D121" s="9" t="s">
        <x:v>275</x:v>
      </x:c>
      <x:c r="E121" s="1" t="s">
        <x:v>42</x:v>
      </x:c>
      <x:c r="F121" s="1">
        <x:v>130</x:v>
      </x:c>
      <x:c r="G121" s="1">
        <x:f>SUM(J6:J7)*C121</x:f>
        <x:v>8</x:v>
      </x:c>
      <x:c r="J121" s="12">
        <x:f>F121+I121-G121-H121</x:f>
        <x:v>122</x:v>
      </x:c>
      <x:c r="K121" s="13">
        <x:f>J121/C121</x:f>
        <x:v>30.5</x:v>
      </x:c>
    </x:row>
    <x:row r="122" spans="1:11" customHeight="1">
      <x:c r="A122" s="15" t="s">
        <x:v>163</x:v>
      </x:c>
      <x:c r="B122" s="14" t="s">
        <x:v>137</x:v>
      </x:c>
      <x:c r="C122" s="2">
        <x:v>4</x:v>
      </x:c>
      <x:c r="D122" s="9" t="s">
        <x:v>83</x:v>
      </x:c>
      <x:c r="E122" s="1" t="s">
        <x:v>208</x:v>
      </x:c>
      <x:c r="F122" s="1">
        <x:v>110</x:v>
      </x:c>
      <x:c r="G122" s="1">
        <x:f>J4*C122</x:f>
        <x:v>0</x:v>
      </x:c>
      <x:c r="J122" s="12">
        <x:f>F122+I122-G122-H122</x:f>
        <x:v>110</x:v>
      </x:c>
      <x:c r="K122" s="13">
        <x:f>J122/C122</x:f>
        <x:v>27.5</x:v>
      </x:c>
    </x:row>
    <x:row r="123" spans="1:11">
      <x:c r="A123" s="15" t="s">
        <x:v>163</x:v>
      </x:c>
      <x:c r="B123" s="14" t="s">
        <x:v>137</x:v>
      </x:c>
      <x:c r="C123" s="2">
        <x:v>8</x:v>
      </x:c>
      <x:c r="D123" s="9" t="s">
        <x:v>83</x:v>
      </x:c>
      <x:c r="E123" s="1" t="s">
        <x:v>167</x:v>
      </x:c>
      <x:c r="F123" s="1">
        <x:v>70</x:v>
      </x:c>
      <x:c r="G123" s="1">
        <x:f>J4*C123</x:f>
        <x:v>0</x:v>
      </x:c>
      <x:c r="J123" s="12">
        <x:f>F123+I123-G123-H123</x:f>
        <x:v>70</x:v>
      </x:c>
      <x:c r="K123" s="13">
        <x:f>J123/C123</x:f>
        <x:v>8.75</x:v>
      </x:c>
    </x:row>
    <x:row r="124" spans="1:11" customFormat="1">
      <x:c r="A124" s="15" t="s">
        <x:v>163</x:v>
      </x:c>
      <x:c r="B124" s="14" t="s">
        <x:v>137</x:v>
      </x:c>
      <x:c r="C124" s="2">
        <x:v>4</x:v>
      </x:c>
      <x:c r="D124" s="9" t="s">
        <x:v>41</x:v>
      </x:c>
      <x:c r="E124" s="1" t="s">
        <x:v>168</x:v>
      </x:c>
      <x:c r="F124" s="1">
        <x:v>64</x:v>
      </x:c>
      <x:c r="G124" s="1">
        <x:f>J5*F124</x:f>
        <x:v>0</x:v>
      </x:c>
      <x:c r="H124" s="1"/>
      <x:c r="I124" s="1"/>
      <x:c r="J124" s="12">
        <x:f>F124+I124-G124-H124</x:f>
        <x:v>64</x:v>
      </x:c>
      <x:c r="K124" s="13">
        <x:f>J124/C124</x:f>
        <x:v>16</x:v>
      </x:c>
    </x:row>
    <x:row r="125" spans="1:11" customFormat="1">
      <x:c r="A125" s="15" t="s">
        <x:v>163</x:v>
      </x:c>
      <x:c r="B125" s="14" t="s">
        <x:v>137</x:v>
      </x:c>
      <x:c r="C125" s="2">
        <x:v>8</x:v>
      </x:c>
      <x:c r="D125" s="9" t="s">
        <x:v>41</x:v>
      </x:c>
      <x:c r="E125" s="1" t="s">
        <x:v>139</x:v>
      </x:c>
      <x:c r="F125" s="1">
        <x:v>49</x:v>
      </x:c>
      <x:c r="G125" s="1">
        <x:f>J5*C125</x:f>
        <x:v>0</x:v>
      </x:c>
      <x:c r="H125" s="1"/>
      <x:c r="I125" s="1"/>
      <x:c r="J125" s="12">
        <x:f>F125+I125-G125-H125</x:f>
        <x:v>49</x:v>
      </x:c>
      <x:c r="K125" s="13">
        <x:f>J125/C125</x:f>
        <x:v>6.125</x:v>
      </x:c>
    </x:row>
    <x:row r="126" spans="1:11">
      <x:c r="A126" s="11" t="s">
        <x:v>290</x:v>
      </x:c>
      <x:c r="B126" s="9" t="s">
        <x:v>143</x:v>
      </x:c>
      <x:c r="C126" s="1">
        <x:v>12</x:v>
      </x:c>
      <x:c r="D126" s="9" t="s">
        <x:v>250</x:v>
      </x:c>
      <x:c r="E126" s="1" t="s">
        <x:v>205</x:v>
      </x:c>
      <x:c r="F126" s="1">
        <x:v>4000</x:v>
      </x:c>
      <x:c r="G126" s="1">
        <x:f>SUM(H4:H11)*C126</x:f>
        <x:v>0</x:v>
      </x:c>
      <x:c r="J126" s="12">
        <x:f>F126+I126-G126-H126</x:f>
        <x:v>4000</x:v>
      </x:c>
      <x:c r="K126" s="13">
        <x:f>J126/C126</x:f>
        <x:v>333.33333333333331</x:v>
      </x:c>
    </x:row>
    <x:row r="127" spans="1:11">
      <x:c r="A127" s="11" t="s">
        <x:v>290</x:v>
      </x:c>
      <x:c r="B127" s="9" t="s">
        <x:v>143</x:v>
      </x:c>
      <x:c r="C127" s="1">
        <x:v>12</x:v>
      </x:c>
      <x:c r="D127" s="9" t="s">
        <x:v>239</x:v>
      </x:c>
      <x:c r="E127" s="1" t="s">
        <x:v>178</x:v>
      </x:c>
      <x:c r="F127" s="1">
        <x:v>640</x:v>
      </x:c>
      <x:c r="G127" s="1">
        <x:f>SUM(H12:H14)*C127</x:f>
        <x:v>0</x:v>
      </x:c>
      <x:c r="J127" s="12">
        <x:f>F127+I127-G127-H127</x:f>
        <x:v>640</x:v>
      </x:c>
      <x:c r="K127" s="13">
        <x:f>J127/C127</x:f>
        <x:v>53.333333333333336</x:v>
      </x:c>
    </x:row>
    <x:row r="128" spans="1:11">
      <x:c r="A128" s="11" t="s">
        <x:v>290</x:v>
      </x:c>
      <x:c r="B128" s="9" t="s">
        <x:v>143</x:v>
      </x:c>
      <x:c r="C128" s="1">
        <x:v>20</x:v>
      </x:c>
      <x:c r="D128" s="9" t="s">
        <x:v>233</x:v>
      </x:c>
      <x:c r="E128" s="1" t="s">
        <x:v>222</x:v>
      </x:c>
      <x:c r="F128" s="1">
        <x:v>2100</x:v>
      </x:c>
      <x:c r="G128" s="1">
        <x:f>SUM(H4:H11)*24+SUM(H12:H14)*16+H15*12</x:f>
        <x:v>0</x:v>
      </x:c>
      <x:c r="J128" s="12">
        <x:f>F128+I128-G128-H128</x:f>
        <x:v>2100</x:v>
      </x:c>
      <x:c r="K128" s="13">
        <x:f>J128/C128</x:f>
        <x:v>105</x:v>
      </x:c>
    </x:row>
    <x:row r="129" spans="1:11">
      <x:c r="A129" s="11" t="s">
        <x:v>290</x:v>
      </x:c>
      <x:c r="B129" s="9" t="s">
        <x:v>143</x:v>
      </x:c>
      <x:c r="C129" s="1">
        <x:v>16</x:v>
      </x:c>
      <x:c r="D129" s="9" t="s">
        <x:v>248</x:v>
      </x:c>
      <x:c r="E129" s="1" t="s">
        <x:v>169</x:v>
      </x:c>
      <x:c r="F129" s="1">
        <x:v>1150</x:v>
      </x:c>
      <x:c r="G129" s="1">
        <x:f>SUM(H12:H14)*8+(H15*16)</x:f>
        <x:v>0</x:v>
      </x:c>
      <x:c r="J129" s="12">
        <x:f>F129+I129-G129-H129</x:f>
        <x:v>1150</x:v>
      </x:c>
      <x:c r="K129" s="13">
        <x:f>J129/C129</x:f>
        <x:v>71.875</x:v>
      </x:c>
    </x:row>
    <x:row r="130" spans="1:11">
      <x:c r="A130" s="11" t="s">
        <x:v>290</x:v>
      </x:c>
      <x:c r="B130" s="9" t="s">
        <x:v>143</x:v>
      </x:c>
      <x:c r="C130" s="1">
        <x:v>4</x:v>
      </x:c>
      <x:c r="D130" s="9" t="s">
        <x:v>70</x:v>
      </x:c>
      <x:c r="E130" s="1" t="s">
        <x:v>188</x:v>
      </x:c>
      <x:c r="F130" s="1">
        <x:v>900</x:v>
      </x:c>
      <x:c r="G130" s="1">
        <x:f>H15*C130</x:f>
        <x:v>0</x:v>
      </x:c>
      <x:c r="J130" s="12">
        <x:f>F130+I130-G130-H130</x:f>
        <x:v>900</x:v>
      </x:c>
      <x:c r="K130" s="13">
        <x:f>J130/C130</x:f>
        <x:v>225</x:v>
      </x:c>
    </x:row>
    <x:row r="131" spans="1:11">
      <x:c r="A131" s="11" t="s">
        <x:v>290</x:v>
      </x:c>
      <x:c r="B131" s="9" t="s">
        <x:v>143</x:v>
      </x:c>
      <x:c r="C131" s="1">
        <x:v>12</x:v>
      </x:c>
      <x:c r="D131" s="9" t="s">
        <x:v>275</x:v>
      </x:c>
      <x:c r="E131" s="1" t="s">
        <x:v>187</x:v>
      </x:c>
      <x:c r="F131" s="1">
        <x:v>340</x:v>
      </x:c>
      <x:c r="G131" s="1">
        <x:f>SUM(J6:J7)*C131</x:f>
        <x:v>24</x:v>
      </x:c>
      <x:c r="J131" s="12">
        <x:f>F131+I131-G131-H131</x:f>
        <x:v>316</x:v>
      </x:c>
      <x:c r="K131" s="13">
        <x:f>J131/C131</x:f>
        <x:v>26.333333333333332</x:v>
      </x:c>
    </x:row>
    <x:row r="132" spans="1:11">
      <x:c r="A132" s="11" t="s">
        <x:v>290</x:v>
      </x:c>
      <x:c r="B132" s="9" t="s">
        <x:v>137</x:v>
      </x:c>
      <x:c r="C132" s="1">
        <x:v>12</x:v>
      </x:c>
      <x:c r="D132" s="9" t="s">
        <x:v>83</x:v>
      </x:c>
      <x:c r="E132" s="1" t="s">
        <x:v>169</x:v>
      </x:c>
      <x:c r="F132" s="1">
        <x:v>320</x:v>
      </x:c>
      <x:c r="G132" s="1">
        <x:f>J4*C132</x:f>
        <x:v>0</x:v>
      </x:c>
      <x:c r="J132" s="12">
        <x:f>F132+I132-G132-H132</x:f>
        <x:v>320</x:v>
      </x:c>
      <x:c r="K132" s="13">
        <x:f>J132/C132</x:f>
        <x:v>26.666666666666668</x:v>
      </x:c>
    </x:row>
    <x:row r="133" spans="1:11">
      <x:c r="A133" s="11" t="s">
        <x:v>290</x:v>
      </x:c>
      <x:c r="B133" s="9" t="s">
        <x:v>137</x:v>
      </x:c>
      <x:c r="C133" s="1">
        <x:v>12</x:v>
      </x:c>
      <x:c r="D133" s="9" t="s">
        <x:v>41</x:v>
      </x:c>
      <x:c r="E133" s="1" t="s">
        <x:v>187</x:v>
      </x:c>
      <x:c r="F133" s="1">
        <x:v>120</x:v>
      </x:c>
      <x:c r="G133" s="1">
        <x:f>J5*C133</x:f>
        <x:v>0</x:v>
      </x:c>
      <x:c r="J133" s="12">
        <x:f>F133+I133-G133-H133</x:f>
        <x:v>120</x:v>
      </x:c>
      <x:c r="K133" s="13">
        <x:f>J133/C133</x:f>
        <x:v>10</x:v>
      </x:c>
    </x:row>
    <x:row r="134" spans="1:11">
      <x:c r="A134" s="11" t="s">
        <x:v>231</x:v>
      </x:c>
      <x:c r="B134" s="9" t="s">
        <x:v>143</x:v>
      </x:c>
      <x:c r="C134" s="1">
        <x:v>4</x:v>
      </x:c>
      <x:c r="D134" s="9" t="s">
        <x:v>250</x:v>
      </x:c>
      <x:c r="E134" s="1" t="s">
        <x:v>134</x:v>
      </x:c>
      <x:c r="F134" s="1">
        <x:v>2400</x:v>
      </x:c>
      <x:c r="G134" s="1">
        <x:f>SUM(H4:H11)*C134</x:f>
        <x:v>0</x:v>
      </x:c>
      <x:c r="J134" s="12">
        <x:f>F134+I134-G134-H134</x:f>
        <x:v>2400</x:v>
      </x:c>
      <x:c r="K134" s="13">
        <x:f>J134/C134</x:f>
        <x:v>600</x:v>
      </x:c>
    </x:row>
    <x:row r="135" spans="1:11">
      <x:c r="A135" s="11" t="s">
        <x:v>231</x:v>
      </x:c>
      <x:c r="B135" s="9" t="s">
        <x:v>143</x:v>
      </x:c>
      <x:c r="C135" s="1">
        <x:v>4</x:v>
      </x:c>
      <x:c r="D135" s="9" t="s">
        <x:v>239</x:v>
      </x:c>
      <x:c r="E135" s="1" t="s">
        <x:v>135</x:v>
      </x:c>
      <x:c r="F135" s="1">
        <x:v>1000</x:v>
      </x:c>
      <x:c r="G135" s="1">
        <x:f>SUM(H12:H14)*C135</x:f>
        <x:v>0</x:v>
      </x:c>
      <x:c r="J135" s="12">
        <x:f>F135+I135-G135-H135</x:f>
        <x:v>1000</x:v>
      </x:c>
      <x:c r="K135" s="13">
        <x:f>J135/C135</x:f>
        <x:v>250</x:v>
      </x:c>
    </x:row>
    <x:row r="136" spans="1:11">
      <x:c r="A136" s="11" t="s">
        <x:v>231</x:v>
      </x:c>
      <x:c r="B136" s="9" t="s">
        <x:v>143</x:v>
      </x:c>
      <x:c r="C136" s="1">
        <x:v>20</x:v>
      </x:c>
      <x:c r="D136" s="9" t="s">
        <x:v>233</x:v>
      </x:c>
      <x:c r="E136" s="1" t="s">
        <x:v>158</x:v>
      </x:c>
      <x:c r="F136" s="1">
        <x:v>2200</x:v>
      </x:c>
      <x:c r="G136" s="1">
        <x:f>SUM(H4:H11)*24+SUM(H12:H14)*16+SUM(H15)*4</x:f>
        <x:v>0</x:v>
      </x:c>
      <x:c r="J136" s="12">
        <x:f>F136+I136-G136-H136</x:f>
        <x:v>2200</x:v>
      </x:c>
      <x:c r="K136" s="13">
        <x:f>J136/C136</x:f>
        <x:v>110</x:v>
      </x:c>
    </x:row>
    <x:row r="137" spans="1:11">
      <x:c r="A137" s="11" t="s">
        <x:v>231</x:v>
      </x:c>
      <x:c r="B137" s="9" t="s">
        <x:v>143</x:v>
      </x:c>
      <x:c r="C137" s="1">
        <x:v>18</x:v>
      </x:c>
      <x:c r="D137" s="9" t="s">
        <x:v>248</x:v>
      </x:c>
      <x:c r="E137" s="1" t="s">
        <x:v>173</x:v>
      </x:c>
      <x:c r="F137" s="1">
        <x:v>1900</x:v>
      </x:c>
      <x:c r="G137" s="1">
        <x:f>SUM(H12:H14)*8+SUM(H15)*16</x:f>
        <x:v>0</x:v>
      </x:c>
      <x:c r="J137" s="12">
        <x:f>F137+I137-G137-H137</x:f>
        <x:v>1900</x:v>
      </x:c>
      <x:c r="K137" s="13">
        <x:f>J137/C137</x:f>
        <x:v>105.55555555555556</x:v>
      </x:c>
    </x:row>
    <x:row r="138" spans="1:11">
      <x:c r="A138" s="11" t="s">
        <x:v>231</x:v>
      </x:c>
      <x:c r="B138" s="9" t="s">
        <x:v>143</x:v>
      </x:c>
      <x:c r="C138" s="1">
        <x:v>8</x:v>
      </x:c>
      <x:c r="D138" s="9" t="s">
        <x:v>70</x:v>
      </x:c>
      <x:c r="E138" s="1" t="s">
        <x:v>184</x:v>
      </x:c>
      <x:c r="F138" s="1">
        <x:v>930</x:v>
      </x:c>
      <x:c r="G138" s="1">
        <x:f>H15*C138</x:f>
        <x:v>0</x:v>
      </x:c>
      <x:c r="J138" s="12">
        <x:f>F138+I138-G138-H138</x:f>
        <x:v>930</x:v>
      </x:c>
      <x:c r="K138" s="13">
        <x:f>J138/C138</x:f>
        <x:v>116.25</x:v>
      </x:c>
    </x:row>
    <x:row r="139" spans="1:11">
      <x:c r="A139" s="11" t="s">
        <x:v>14</x:v>
      </x:c>
      <x:c r="B139" s="9" t="s">
        <x:v>137</x:v>
      </x:c>
      <x:c r="C139" s="1">
        <x:v>14</x:v>
      </x:c>
      <x:c r="D139" s="9" t="s">
        <x:v>263</x:v>
      </x:c>
      <x:c r="E139" s="1" t="s">
        <x:v>166</x:v>
      </x:c>
      <x:c r="F139" s="1">
        <x:v>172</x:v>
      </x:c>
      <x:c r="G139" s="1">
        <x:f>SUM(J4)*12+SUM(J5)*16+SUM(J6)*16+SUM(J7)*8</x:f>
        <x:v>16</x:v>
      </x:c>
      <x:c r="J139" s="12">
        <x:f>F139+I139-G139-H139</x:f>
        <x:v>156</x:v>
      </x:c>
      <x:c r="K139" s="13">
        <x:f>J139/C139</x:f>
        <x:v>11.142857142857142</x:v>
      </x:c>
    </x:row>
    <x:row r="140" spans="1:11">
      <x:c r="A140" s="11" t="s">
        <x:v>14</x:v>
      </x:c>
      <x:c r="B140" s="9" t="s">
        <x:v>137</x:v>
      </x:c>
      <x:c r="C140" s="1">
        <x:v>4</x:v>
      </x:c>
      <x:c r="D140" s="9" t="s">
        <x:v>83</x:v>
      </x:c>
      <x:c r="E140" s="1" t="s">
        <x:v>170</x:v>
      </x:c>
      <x:c r="F140" s="1">
        <x:v>92</x:v>
      </x:c>
      <x:c r="G140" s="1">
        <x:f>J4*C140</x:f>
        <x:v>0</x:v>
      </x:c>
      <x:c r="J140" s="12">
        <x:f>F140+I140-G140-H140</x:f>
        <x:v>92</x:v>
      </x:c>
      <x:c r="K140" s="13">
        <x:f>J140/C140</x:f>
        <x:v>23</x:v>
      </x:c>
    </x:row>
    <x:row r="141" spans="1:11">
      <x:c r="A141" s="11" t="s">
        <x:v>14</x:v>
      </x:c>
      <x:c r="B141" s="9" t="s">
        <x:v>137</x:v>
      </x:c>
      <x:c r="C141" s="1">
        <x:v>8</x:v>
      </x:c>
      <x:c r="D141" s="9" t="s">
        <x:v>73</x:v>
      </x:c>
      <x:c r="E141" s="1" t="s">
        <x:v>153</x:v>
      </x:c>
      <x:c r="F141" s="1">
        <x:v>63</x:v>
      </x:c>
      <x:c r="G141" s="1">
        <x:f>J7*C141</x:f>
        <x:v>16</x:v>
      </x:c>
      <x:c r="J141" s="12">
        <x:f>F141+I141-G141-H141</x:f>
        <x:v>47</x:v>
      </x:c>
      <x:c r="K141" s="13">
        <x:f>J141/C141</x:f>
        <x:v>5.875</x:v>
      </x:c>
    </x:row>
  </x:sheetData>
  <x:autoFilter ref="A17:J141"/>
  <x:mergeCells count="1">
    <x:mergeCell ref="A8:E12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 filterMode="1"/>
  <x:dimension ref="A1:M208"/>
  <x:sheetViews>
    <x:sheetView topLeftCell="A1" zoomScaleNormal="100" workbookViewId="0">
      <x:selection activeCell="B9" activeCellId="0" sqref="B9:F13"/>
    </x:sheetView>
  </x:sheetViews>
  <x:sheetFormatPr defaultColWidth="9.00390625" defaultRowHeight="17.800000000000001"/>
  <x:cols>
    <x:col min="1" max="1" width="14.375" style="1" customWidth="1"/>
    <x:col min="2" max="2" width="19" style="10" customWidth="1"/>
    <x:col min="3" max="3" width="12.375" style="1" customWidth="1"/>
    <x:col min="4" max="4" width="8.25" style="1" customWidth="1"/>
    <x:col min="5" max="5" width="26.1953125" style="2" bestFit="1" customWidth="1"/>
    <x:col min="6" max="6" width="18.5" style="1" customWidth="1"/>
    <x:col min="7" max="7" width="10.125" style="1" customWidth="1"/>
    <x:col min="8" max="8" width="14.75" style="1" customWidth="1"/>
    <x:col min="9" max="9" width="12.52734375" style="1" bestFit="1" customWidth="1"/>
    <x:col min="10" max="10" width="13.25" style="1" customWidth="1"/>
    <x:col min="11" max="11" width="12.52734375" style="20" bestFit="1" customWidth="1"/>
    <x:col min="12" max="12" width="14.375" style="18" customWidth="1"/>
    <x:col min="13" max="13" width="9.00390625" style="1" bestFit="1" customWidth="1"/>
    <x:col min="14" max="14" width="10.625" customWidth="1"/>
  </x:cols>
  <x:sheetData>
    <x:row r="1" spans="1:13" customFormat="1" customHeight="1">
      <x:c r="A1" s="1"/>
      <x:c r="B1" s="10"/>
      <x:c r="C1" s="1"/>
      <x:c r="D1" s="1"/>
      <x:c r="E1" s="2"/>
      <x:c r="F1" s="1"/>
      <x:c r="G1" s="1"/>
      <x:c r="H1" s="73" t="s">
        <x:v>237</x:v>
      </x:c>
      <x:c r="I1" s="73"/>
      <x:c r="J1" s="73"/>
      <x:c r="K1" s="74"/>
      <x:c r="L1" s="18"/>
      <x:c r="M1" s="1"/>
    </x:row>
    <x:row r="2" spans="1:13" customFormat="1">
      <x:c r="A2" s="1"/>
      <x:c r="B2" s="10"/>
      <x:c r="C2" s="1"/>
      <x:c r="D2" s="1"/>
      <x:c r="E2" s="2"/>
      <x:c r="F2" s="1"/>
      <x:c r="G2" s="1"/>
      <x:c r="H2" s="16" t="s">
        <x:v>130</x:v>
      </x:c>
      <x:c r="I2" s="16" t="s">
        <x:v>142</x:v>
      </x:c>
      <x:c r="J2" s="16" t="s">
        <x:v>157</x:v>
      </x:c>
      <x:c r="K2" s="21" t="s">
        <x:v>142</x:v>
      </x:c>
      <x:c r="L2" s="18"/>
      <x:c r="M2" s="1"/>
    </x:row>
    <x:row r="3" spans="1:13" customFormat="1">
      <x:c r="A3" s="1"/>
      <x:c r="B3" s="10"/>
      <x:c r="C3" s="1"/>
      <x:c r="D3" s="1"/>
      <x:c r="E3" s="2"/>
      <x:c r="F3" s="1"/>
      <x:c r="G3" s="1"/>
      <x:c r="H3" s="16" t="s">
        <x:v>23</x:v>
      </x:c>
      <x:c r="I3" s="16"/>
      <x:c r="J3" s="16"/>
      <x:c r="K3" s="21"/>
      <x:c r="L3" s="18"/>
      <x:c r="M3" s="1"/>
    </x:row>
    <x:row r="4" spans="1:13" customFormat="1">
      <x:c r="A4" s="1"/>
      <x:c r="B4" s="10"/>
      <x:c r="C4" s="1"/>
      <x:c r="D4" s="1"/>
      <x:c r="E4" s="2"/>
      <x:c r="F4" s="1"/>
      <x:c r="G4" s="1"/>
      <x:c r="H4" s="16" t="s">
        <x:v>94</x:v>
      </x:c>
      <x:c r="I4" s="16"/>
      <x:c r="J4" s="16"/>
      <x:c r="K4" s="21"/>
      <x:c r="L4" s="18"/>
      <x:c r="M4" s="1"/>
    </x:row>
    <x:row r="5" spans="1:13" customFormat="1">
      <x:c r="A5" s="1"/>
      <x:c r="B5" s="10"/>
      <x:c r="C5" s="1"/>
      <x:c r="D5" s="1"/>
      <x:c r="E5" s="2"/>
      <x:c r="F5" s="1"/>
      <x:c r="G5" s="1"/>
      <x:c r="H5" s="16" t="s">
        <x:v>27</x:v>
      </x:c>
      <x:c r="I5" s="16"/>
      <x:c r="J5" s="16" t="s">
        <x:v>83</x:v>
      </x:c>
      <x:c r="K5" s="21"/>
      <x:c r="L5" s="18"/>
      <x:c r="M5" s="1"/>
    </x:row>
    <x:row r="6" spans="1:13" customFormat="1">
      <x:c r="A6" s="1"/>
      <x:c r="B6" s="10"/>
      <x:c r="C6" s="1"/>
      <x:c r="D6" s="1"/>
      <x:c r="E6" s="2"/>
      <x:c r="F6" s="1"/>
      <x:c r="G6" s="1"/>
      <x:c r="H6" s="16" t="s">
        <x:v>36</x:v>
      </x:c>
      <x:c r="I6" s="16"/>
      <x:c r="J6" s="16" t="s">
        <x:v>41</x:v>
      </x:c>
      <x:c r="K6" s="21"/>
      <x:c r="L6" s="18"/>
      <x:c r="M6" s="1"/>
    </x:row>
    <x:row r="7" spans="1:13" customFormat="1">
      <x:c r="A7" s="1"/>
      <x:c r="B7" s="10"/>
      <x:c r="C7" s="1"/>
      <x:c r="D7" s="1"/>
      <x:c r="E7" s="2"/>
      <x:c r="F7" s="1"/>
      <x:c r="G7" s="1"/>
      <x:c r="H7" s="16" t="s">
        <x:v>55</x:v>
      </x:c>
      <x:c r="I7" s="16"/>
      <x:c r="J7" s="16" t="s">
        <x:v>47</x:v>
      </x:c>
      <x:c r="K7" s="21"/>
      <x:c r="L7" s="18"/>
      <x:c r="M7" s="1"/>
    </x:row>
    <x:row r="8" spans="1:13" customFormat="1">
      <x:c r="A8" s="1"/>
      <x:c r="B8" s="10"/>
      <x:c r="C8" s="1"/>
      <x:c r="D8" s="1"/>
      <x:c r="E8" s="2"/>
      <x:c r="F8" s="1"/>
      <x:c r="G8" s="1"/>
      <x:c r="H8" s="16" t="s">
        <x:v>44</x:v>
      </x:c>
      <x:c r="I8" s="16"/>
      <x:c r="J8" s="16" t="s">
        <x:v>73</x:v>
      </x:c>
      <x:c r="K8" s="21"/>
      <x:c r="L8" s="18"/>
      <x:c r="M8" s="1"/>
    </x:row>
    <x:row r="9" spans="1:13" customFormat="1" ht="16.399999999999999">
      <x:c r="A9" s="1"/>
      <x:c r="B9" s="66" t="s">
        <x:v>12</x:v>
      </x:c>
      <x:c r="C9" s="66"/>
      <x:c r="D9" s="66"/>
      <x:c r="E9" s="66"/>
      <x:c r="F9" s="66"/>
      <x:c r="G9" s="1"/>
      <x:c r="H9" s="16" t="s">
        <x:v>76</x:v>
      </x:c>
      <x:c r="I9" s="16"/>
      <x:c r="J9" s="16"/>
      <x:c r="K9" s="21"/>
      <x:c r="L9" s="18"/>
      <x:c r="M9" s="1"/>
    </x:row>
    <x:row r="10" spans="1:13" customFormat="1" ht="16.399999999999999">
      <x:c r="A10" s="1"/>
      <x:c r="B10" s="66"/>
      <x:c r="C10" s="66"/>
      <x:c r="D10" s="66"/>
      <x:c r="E10" s="66"/>
      <x:c r="F10" s="66"/>
      <x:c r="G10" s="1"/>
      <x:c r="H10" s="16" t="s">
        <x:v>33</x:v>
      </x:c>
      <x:c r="I10" s="16"/>
      <x:c r="J10" s="16"/>
      <x:c r="K10" s="21"/>
      <x:c r="L10" s="18"/>
      <x:c r="M10" s="1"/>
    </x:row>
    <x:row r="11" spans="1:13" customFormat="1" ht="16.399999999999999">
      <x:c r="A11" s="1"/>
      <x:c r="B11" s="66"/>
      <x:c r="C11" s="66"/>
      <x:c r="D11" s="66"/>
      <x:c r="E11" s="66"/>
      <x:c r="F11" s="66"/>
      <x:c r="G11" s="1"/>
      <x:c r="H11" s="16" t="s">
        <x:v>43</x:v>
      </x:c>
      <x:c r="I11" s="16"/>
      <x:c r="J11" s="16"/>
      <x:c r="K11" s="21"/>
      <x:c r="L11" s="18"/>
      <x:c r="M11" s="1"/>
    </x:row>
    <x:row r="12" spans="2:11" ht="16.399999999999999">
      <x:c r="B12" s="66"/>
      <x:c r="C12" s="66"/>
      <x:c r="D12" s="66"/>
      <x:c r="E12" s="66"/>
      <x:c r="F12" s="66"/>
      <x:c r="H12" s="16" t="s">
        <x:v>21</x:v>
      </x:c>
      <x:c r="I12" s="16"/>
      <x:c r="J12" s="16"/>
      <x:c r="K12" s="21"/>
    </x:row>
    <x:row r="13" spans="2:11" ht="16.399999999999999">
      <x:c r="B13" s="66"/>
      <x:c r="C13" s="66"/>
      <x:c r="D13" s="66"/>
      <x:c r="E13" s="66"/>
      <x:c r="F13" s="66"/>
      <x:c r="H13" s="16" t="s">
        <x:v>80</x:v>
      </x:c>
      <x:c r="I13" s="16"/>
      <x:c r="J13" s="16"/>
      <x:c r="K13" s="21"/>
    </x:row>
    <x:row r="14" spans="8:11">
      <x:c r="H14" s="16" t="s">
        <x:v>31</x:v>
      </x:c>
      <x:c r="I14" s="16"/>
      <x:c r="J14" s="16"/>
      <x:c r="K14" s="21"/>
    </x:row>
    <x:row r="15" spans="8:11">
      <x:c r="H15" s="16" t="s">
        <x:v>124</x:v>
      </x:c>
      <x:c r="I15" s="16"/>
      <x:c r="J15" s="16"/>
      <x:c r="K15" s="21"/>
    </x:row>
    <x:row r="16" spans="8:11">
      <x:c r="H16" s="16" t="s">
        <x:v>70</x:v>
      </x:c>
      <x:c r="I16" s="16"/>
      <x:c r="J16" s="16"/>
      <x:c r="K16" s="21"/>
    </x:row>
    <x:row r="17" spans="1:13" customFormat="1">
      <x:c r="A17" s="1"/>
      <x:c r="B17" s="10"/>
      <x:c r="C17" s="1"/>
      <x:c r="D17" s="1"/>
      <x:c r="E17" s="2"/>
      <x:c r="F17" s="1"/>
      <x:c r="G17" s="1"/>
      <x:c r="H17" s="16" t="s">
        <x:v>244</x:v>
      </x:c>
      <x:c r="I17" s="16"/>
      <x:c r="J17" s="16"/>
      <x:c r="K17" s="21"/>
      <x:c r="L17" s="18"/>
      <x:c r="M17" s="1"/>
    </x:row>
    <x:row r="18" spans="1:13" customFormat="1">
      <x:c r="A18" s="1"/>
      <x:c r="B18" s="10"/>
      <x:c r="C18" s="1"/>
      <x:c r="D18" s="1"/>
      <x:c r="E18" s="2"/>
      <x:c r="F18" s="1"/>
      <x:c r="G18" s="1"/>
      <x:c r="H18" s="16" t="s">
        <x:v>247</x:v>
      </x:c>
      <x:c r="I18" s="16"/>
      <x:c r="J18" s="16"/>
      <x:c r="K18" s="21"/>
      <x:c r="L18" s="18"/>
      <x:c r="M18" s="1"/>
    </x:row>
    <x:row r="19" spans="1:13" customFormat="1">
      <x:c r="A19" s="1"/>
      <x:c r="B19" s="10"/>
      <x:c r="C19" s="1"/>
      <x:c r="D19" s="1"/>
      <x:c r="E19" s="2"/>
      <x:c r="F19" s="1"/>
      <x:c r="G19" s="1"/>
      <x:c r="H19" s="16" t="s">
        <x:v>22</x:v>
      </x:c>
      <x:c r="I19" s="16"/>
      <x:c r="J19" s="16"/>
      <x:c r="K19" s="21"/>
      <x:c r="L19" s="18"/>
      <x:c r="M19" s="1"/>
    </x:row>
    <x:row r="20" spans="1:13" customFormat="1">
      <x:c r="A20" s="1"/>
      <x:c r="B20" s="10"/>
      <x:c r="C20" s="1"/>
      <x:c r="D20" s="1"/>
      <x:c r="E20" s="2"/>
      <x:c r="F20" s="1"/>
      <x:c r="G20" s="1"/>
      <x:c r="H20" s="17" t="s">
        <x:v>96</x:v>
      </x:c>
      <x:c r="I20" s="16"/>
      <x:c r="J20" s="16"/>
      <x:c r="K20" s="21"/>
      <x:c r="L20" s="18"/>
      <x:c r="M20" s="1"/>
    </x:row>
    <x:row r="21" spans="8:8">
      <x:c r="H21"/>
    </x:row>
    <x:row r="22" spans="1:13" s="8" customFormat="1" ht="29.25" customHeight="1">
      <x:c r="A22" s="9" t="s">
        <x:v>288</x:v>
      </x:c>
      <x:c r="B22" s="11" t="s">
        <x:v>279</x:v>
      </x:c>
      <x:c r="C22" s="9" t="s">
        <x:v>287</x:v>
      </x:c>
      <x:c r="D22" s="9" t="s">
        <x:v>200</x:v>
      </x:c>
      <x:c r="E22" s="9" t="s">
        <x:v>198</x:v>
      </x:c>
      <x:c r="F22" s="9" t="s">
        <x:v>123</x:v>
      </x:c>
      <x:c r="G22" s="9" t="s">
        <x:v>127</x:v>
      </x:c>
      <x:c r="H22" s="9" t="s">
        <x:v>151</x:v>
      </x:c>
      <x:c r="I22" s="9" t="s">
        <x:v>128</x:v>
      </x:c>
      <x:c r="J22" s="9" t="s">
        <x:v>155</x:v>
      </x:c>
      <x:c r="K22" s="14" t="s">
        <x:v>154</x:v>
      </x:c>
      <x:c r="L22" s="23" t="s">
        <x:v>204</x:v>
      </x:c>
      <x:c r="M22" s="9" t="s">
        <x:v>286</x:v>
      </x:c>
    </x:row>
    <x:row r="23" spans="1:13" ht="18" customHeight="1">
      <x:c r="A23" s="9" t="s">
        <x:v>176</x:v>
      </x:c>
      <x:c r="B23" s="15" t="s">
        <x:v>281</x:v>
      </x:c>
      <x:c r="C23" s="14" t="s">
        <x:v>189</x:v>
      </x:c>
      <x:c r="D23" s="6">
        <x:v>2</x:v>
      </x:c>
      <x:c r="E23" s="14" t="s">
        <x:v>241</x:v>
      </x:c>
      <x:c r="F23" s="1" t="s">
        <x:v>32</x:v>
      </x:c>
      <x:c r="G23" s="7">
        <x:f>'2026.9.4'!J18</x:f>
        <x:v>310</x:v>
      </x:c>
      <x:c r="H23" s="6">
        <x:f>SUM(I3:I15)*D23</x:f>
        <x:v>0</x:v>
      </x:c>
      <x:c r="I23" s="6"/>
      <x:c r="J23" s="6"/>
      <x:c r="K23" s="22">
        <x:f>G23+J23-H23-I23</x:f>
        <x:v>310</x:v>
      </x:c>
      <x:c r="L23" s="19">
        <x:f>K23/D23</x:f>
        <x:v>155</x:v>
      </x:c>
      <x:c r="M23" s="25" t="str">
        <x:f>IF(L23&lt;=10,119,"")</x:f>
        <x:v/>
      </x:c>
    </x:row>
    <x:row r="24" spans="1:13" ht="18" customHeight="1">
      <x:c r="A24" s="9" t="s">
        <x:v>176</x:v>
      </x:c>
      <x:c r="B24" s="15" t="s">
        <x:v>281</x:v>
      </x:c>
      <x:c r="C24" s="14" t="s">
        <x:v>189</x:v>
      </x:c>
      <x:c r="D24" s="6">
        <x:v>2</x:v>
      </x:c>
      <x:c r="E24" s="14" t="s">
        <x:v>70</x:v>
      </x:c>
      <x:c r="F24" s="1" t="s">
        <x:v>65</x:v>
      </x:c>
      <x:c r="G24" s="7">
        <x:f>'2026.9.4'!J19</x:f>
        <x:v>240</x:v>
      </x:c>
      <x:c r="H24" s="6">
        <x:f>I16*D24</x:f>
        <x:v>0</x:v>
      </x:c>
      <x:c r="I24" s="6"/>
      <x:c r="J24" s="6"/>
      <x:c r="K24" s="22">
        <x:f>G24+J24-H24-I24</x:f>
        <x:v>240</x:v>
      </x:c>
      <x:c r="L24" s="19">
        <x:f>K24/D24</x:f>
        <x:v>120</x:v>
      </x:c>
      <x:c r="M24" s="25" t="str">
        <x:f>IF(L24&lt;=10,119,"")</x:f>
        <x:v/>
      </x:c>
    </x:row>
    <x:row r="25" spans="1:13" customFormat="1" ht="18" customHeight="1">
      <x:c r="A25" s="9" t="s">
        <x:v>176</x:v>
      </x:c>
      <x:c r="B25" s="15" t="s">
        <x:v>281</x:v>
      </x:c>
      <x:c r="C25" s="14" t="s">
        <x:v>189</x:v>
      </x:c>
      <x:c r="D25" s="6">
        <x:v>2</x:v>
      </x:c>
      <x:c r="E25" s="14" t="s">
        <x:v>244</x:v>
      </x:c>
      <x:c r="F25" s="1" t="s">
        <x:v>32</x:v>
      </x:c>
      <x:c r="G25" s="6">
        <x:v>17</x:v>
      </x:c>
      <x:c r="H25" s="6">
        <x:f>I17*D25</x:f>
        <x:v>0</x:v>
      </x:c>
      <x:c r="I25" s="6"/>
      <x:c r="J25" s="6"/>
      <x:c r="K25" s="22">
        <x:f>G25+J25-H25-I25</x:f>
        <x:v>17</x:v>
      </x:c>
      <x:c r="L25" s="19">
        <x:f>K25/D25</x:f>
        <x:v>8.5</x:v>
      </x:c>
      <x:c r="M25" s="25">
        <x:f>IF(L25&lt;=10,119,"")</x:f>
        <x:v>119</x:v>
      </x:c>
    </x:row>
    <x:row r="26" spans="1:13" customFormat="1" ht="18" customHeight="1">
      <x:c r="A26" s="9" t="s">
        <x:v>176</x:v>
      </x:c>
      <x:c r="B26" s="15" t="s">
        <x:v>281</x:v>
      </x:c>
      <x:c r="C26" s="14" t="s">
        <x:v>189</x:v>
      </x:c>
      <x:c r="D26" s="6">
        <x:v>2</x:v>
      </x:c>
      <x:c r="E26" s="14" t="s">
        <x:v>247</x:v>
      </x:c>
      <x:c r="F26" s="1"/>
      <x:c r="G26" s="6">
        <x:v>17</x:v>
      </x:c>
      <x:c r="H26" s="6">
        <x:f>I18*D26</x:f>
        <x:v>0</x:v>
      </x:c>
      <x:c r="I26" s="6"/>
      <x:c r="J26" s="6"/>
      <x:c r="K26" s="22">
        <x:f>G26+J26-H26-I26</x:f>
        <x:v>17</x:v>
      </x:c>
      <x:c r="L26" s="19">
        <x:f>K26/D26</x:f>
        <x:v>8.5</x:v>
      </x:c>
      <x:c r="M26" s="25">
        <x:f>IF(L26&lt;=10,119,"")</x:f>
        <x:v>119</x:v>
      </x:c>
    </x:row>
    <x:row r="27" spans="1:13" customFormat="1" ht="18" customHeight="1">
      <x:c r="A27" s="9" t="s">
        <x:v>176</x:v>
      </x:c>
      <x:c r="B27" s="15" t="s">
        <x:v>281</x:v>
      </x:c>
      <x:c r="C27" s="14" t="s">
        <x:v>189</x:v>
      </x:c>
      <x:c r="D27" s="6">
        <x:v>2</x:v>
      </x:c>
      <x:c r="E27" s="14" t="s">
        <x:v>11</x:v>
      </x:c>
      <x:c r="F27" s="1"/>
      <x:c r="G27" s="6">
        <x:v>6</x:v>
      </x:c>
      <x:c r="H27" s="6">
        <x:f>SUM(I19:I20)*D27</x:f>
        <x:v>0</x:v>
      </x:c>
      <x:c r="I27" s="6"/>
      <x:c r="J27" s="6"/>
      <x:c r="K27" s="22">
        <x:f>G27+J27-H27-I27</x:f>
        <x:v>6</x:v>
      </x:c>
      <x:c r="L27" s="19">
        <x:f>K27/D27</x:f>
        <x:v>3</x:v>
      </x:c>
      <x:c r="M27" s="25">
        <x:f>IF(L27&lt;=10,119,"")</x:f>
        <x:v>119</x:v>
      </x:c>
    </x:row>
    <x:row r="28" spans="1:13" customFormat="1" ht="18" customHeight="1">
      <x:c r="A28" s="9" t="s">
        <x:v>176</x:v>
      </x:c>
      <x:c r="B28" s="15" t="s">
        <x:v>281</x:v>
      </x:c>
      <x:c r="C28" s="14" t="s">
        <x:v>143</x:v>
      </x:c>
      <x:c r="D28" s="6">
        <x:v>2</x:v>
      </x:c>
      <x:c r="E28" s="14" t="s">
        <x:v>83</x:v>
      </x:c>
      <x:c r="F28" s="7" t="s">
        <x:v>60</x:v>
      </x:c>
      <x:c r="G28" s="7">
        <x:f>'2026.9.4'!J20</x:f>
        <x:v>76</x:v>
      </x:c>
      <x:c r="H28" s="6">
        <x:f>K5*D28</x:f>
        <x:v>0</x:v>
      </x:c>
      <x:c r="I28" s="6"/>
      <x:c r="J28" s="6"/>
      <x:c r="K28" s="22">
        <x:f>G28+J28-H28-I28</x:f>
        <x:v>76</x:v>
      </x:c>
      <x:c r="L28" s="19">
        <x:f>K28/D28</x:f>
        <x:v>38</x:v>
      </x:c>
      <x:c r="M28" s="25" t="str">
        <x:f>IF(L28&lt;=10,119,"")</x:f>
        <x:v/>
      </x:c>
    </x:row>
    <x:row r="29" spans="1:13" customFormat="1" ht="18" customHeight="1">
      <x:c r="A29" s="9" t="s">
        <x:v>176</x:v>
      </x:c>
      <x:c r="B29" s="15" t="s">
        <x:v>281</x:v>
      </x:c>
      <x:c r="C29" s="14" t="s">
        <x:v>143</x:v>
      </x:c>
      <x:c r="D29" s="6">
        <x:v>2</x:v>
      </x:c>
      <x:c r="E29" s="14" t="s">
        <x:v>41</x:v>
      </x:c>
      <x:c r="F29" s="7" t="s">
        <x:v>25</x:v>
      </x:c>
      <x:c r="G29" s="7">
        <x:f>'2026.9.4'!J21</x:f>
        <x:v>2</x:v>
      </x:c>
      <x:c r="H29" s="6">
        <x:f>K6*D29</x:f>
        <x:v>0</x:v>
      </x:c>
      <x:c r="I29" s="6"/>
      <x:c r="J29" s="6"/>
      <x:c r="K29" s="22">
        <x:f>G29+J29-H29-I29</x:f>
        <x:v>2</x:v>
      </x:c>
      <x:c r="L29" s="19">
        <x:f>K29/D29</x:f>
        <x:v>1</x:v>
      </x:c>
      <x:c r="M29" s="25">
        <x:f>IF(L29&lt;=10,119,"")</x:f>
        <x:v>119</x:v>
      </x:c>
    </x:row>
    <x:row r="30" spans="1:13" customFormat="1" ht="18" customHeight="1">
      <x:c r="A30" s="9" t="s">
        <x:v>176</x:v>
      </x:c>
      <x:c r="B30" s="15" t="s">
        <x:v>281</x:v>
      </x:c>
      <x:c r="C30" s="14" t="s">
        <x:v>143</x:v>
      </x:c>
      <x:c r="D30" s="6">
        <x:v>2</x:v>
      </x:c>
      <x:c r="E30" s="14" t="s">
        <x:v>47</x:v>
      </x:c>
      <x:c r="F30" s="7" t="s">
        <x:v>39</x:v>
      </x:c>
      <x:c r="G30" s="7">
        <x:f>'2026.9.4'!J22</x:f>
        <x:v>73</x:v>
      </x:c>
      <x:c r="H30" s="6">
        <x:f>K7*D30</x:f>
        <x:v>0</x:v>
      </x:c>
      <x:c r="I30" s="6"/>
      <x:c r="J30" s="6"/>
      <x:c r="K30" s="22">
        <x:f>G30+J30-H30-I30</x:f>
        <x:v>73</x:v>
      </x:c>
      <x:c r="L30" s="19">
        <x:f>K30/D30</x:f>
        <x:v>36.5</x:v>
      </x:c>
      <x:c r="M30" s="25" t="str">
        <x:f>IF(L30&lt;=10,119,"")</x:f>
        <x:v/>
      </x:c>
    </x:row>
    <x:row r="31" spans="1:13" customFormat="1" ht="18" customHeight="1">
      <x:c r="A31" s="9" t="s">
        <x:v>176</x:v>
      </x:c>
      <x:c r="B31" s="15" t="s">
        <x:v>281</x:v>
      </x:c>
      <x:c r="C31" s="14" t="s">
        <x:v>143</x:v>
      </x:c>
      <x:c r="D31" s="6">
        <x:v>2</x:v>
      </x:c>
      <x:c r="E31" s="14" t="s">
        <x:v>73</x:v>
      </x:c>
      <x:c r="F31" s="7" t="s">
        <x:v>90</x:v>
      </x:c>
      <x:c r="G31" s="7">
        <x:f>'2026.9.4'!J23</x:f>
        <x:v>74</x:v>
      </x:c>
      <x:c r="H31" s="6">
        <x:f>K8*D31</x:f>
        <x:v>0</x:v>
      </x:c>
      <x:c r="I31" s="6"/>
      <x:c r="J31" s="6"/>
      <x:c r="K31" s="22">
        <x:f>G31+J31-H31-I31</x:f>
        <x:v>74</x:v>
      </x:c>
      <x:c r="L31" s="19">
        <x:f>K31/D31</x:f>
        <x:v>37</x:v>
      </x:c>
      <x:c r="M31" s="25" t="str">
        <x:f>IF(L31&lt;=10,119,"")</x:f>
        <x:v/>
      </x:c>
    </x:row>
    <x:row r="32" spans="1:13" customFormat="1" ht="18" customHeight="1">
      <x:c r="A32" s="9" t="s">
        <x:v>176</x:v>
      </x:c>
      <x:c r="B32" s="15" t="s">
        <x:v>242</x:v>
      </x:c>
      <x:c r="C32" s="14" t="s">
        <x:v>189</x:v>
      </x:c>
      <x:c r="D32" s="6">
        <x:v>2</x:v>
      </x:c>
      <x:c r="E32" s="14" t="s">
        <x:v>11</x:v>
      </x:c>
      <x:c r="F32" s="6"/>
      <x:c r="G32" s="6">
        <x:v>8</x:v>
      </x:c>
      <x:c r="H32" s="6">
        <x:f>SUM(I19:I20)*D32</x:f>
        <x:v>0</x:v>
      </x:c>
      <x:c r="I32" s="6"/>
      <x:c r="J32" s="6"/>
      <x:c r="K32" s="22">
        <x:f>G32+J32-H32-I32</x:f>
        <x:v>8</x:v>
      </x:c>
      <x:c r="L32" s="19">
        <x:f>K32/D32</x:f>
        <x:v>4</x:v>
      </x:c>
      <x:c r="M32" s="25">
        <x:f>IF(L32&lt;=10,119,"")</x:f>
        <x:v>119</x:v>
      </x:c>
    </x:row>
    <x:row r="33" spans="1:13" ht="18" customHeight="1">
      <x:c r="A33" s="9" t="s">
        <x:v>176</x:v>
      </x:c>
      <x:c r="B33" s="15" t="s">
        <x:v>67</x:v>
      </x:c>
      <x:c r="C33" s="14" t="s">
        <x:v>62</x:v>
      </x:c>
      <x:c r="D33" s="6">
        <x:v>4</x:v>
      </x:c>
      <x:c r="E33" s="14" t="s">
        <x:v>250</x:v>
      </x:c>
      <x:c r="F33" s="1" t="s">
        <x:v>69</x:v>
      </x:c>
      <x:c r="G33" s="7">
        <x:f>'2026.9.4'!J24</x:f>
        <x:v>304</x:v>
      </x:c>
      <x:c r="H33" s="6">
        <x:f>SUM(I3:I12)*D33</x:f>
        <x:v>0</x:v>
      </x:c>
      <x:c r="I33" s="6"/>
      <x:c r="J33" s="6"/>
      <x:c r="K33" s="22">
        <x:f>G33+J33-H33-I33</x:f>
        <x:v>304</x:v>
      </x:c>
      <x:c r="L33" s="19">
        <x:f>K33/D33</x:f>
        <x:v>76</x:v>
      </x:c>
      <x:c r="M33" s="25" t="str">
        <x:f>IF(L33&lt;=10,119,"")</x:f>
        <x:v/>
      </x:c>
    </x:row>
    <x:row r="34" spans="1:13" ht="18" customHeight="1">
      <x:c r="A34" s="9" t="s">
        <x:v>176</x:v>
      </x:c>
      <x:c r="B34" s="15" t="s">
        <x:v>67</x:v>
      </x:c>
      <x:c r="C34" s="14" t="s">
        <x:v>62</x:v>
      </x:c>
      <x:c r="D34" s="6">
        <x:v>4</x:v>
      </x:c>
      <x:c r="E34" s="14" t="s">
        <x:v>239</x:v>
      </x:c>
      <x:c r="F34" s="1" t="s">
        <x:v>61</x:v>
      </x:c>
      <x:c r="G34" s="7">
        <x:f>'2026.9.4'!J25</x:f>
        <x:v>150</x:v>
      </x:c>
      <x:c r="H34" s="1">
        <x:f>SUM(I13:I15)*D34</x:f>
        <x:v>0</x:v>
      </x:c>
      <x:c r="K34" s="22">
        <x:f>G34+J34-H34-I34</x:f>
        <x:v>150</x:v>
      </x:c>
      <x:c r="L34" s="19">
        <x:f>K34/D34</x:f>
        <x:v>37.5</x:v>
      </x:c>
      <x:c r="M34" s="25" t="str">
        <x:f>IF(L34&lt;=10,119,"")</x:f>
        <x:v/>
      </x:c>
    </x:row>
    <x:row r="35" spans="1:13" ht="18" customHeight="1">
      <x:c r="A35" s="9" t="s">
        <x:v>176</x:v>
      </x:c>
      <x:c r="B35" s="15" t="s">
        <x:v>67</x:v>
      </x:c>
      <x:c r="C35" s="14" t="s">
        <x:v>62</x:v>
      </x:c>
      <x:c r="D35" s="6">
        <x:v>4</x:v>
      </x:c>
      <x:c r="E35" s="14" t="s">
        <x:v>70</x:v>
      </x:c>
      <x:c r="F35" s="7" t="s">
        <x:v>26</x:v>
      </x:c>
      <x:c r="G35" s="7">
        <x:f>'2026.9.4'!J26</x:f>
        <x:v>262</x:v>
      </x:c>
      <x:c r="H35" s="1">
        <x:f>I16*D35</x:f>
        <x:v>0</x:v>
      </x:c>
      <x:c r="K35" s="22">
        <x:f>G35+J35-H35-I35</x:f>
        <x:v>262</x:v>
      </x:c>
      <x:c r="L35" s="19">
        <x:f>K35/D35</x:f>
        <x:v>65.5</x:v>
      </x:c>
      <x:c r="M35" s="25" t="str">
        <x:f>IF(L35&lt;=10,119,"")</x:f>
        <x:v/>
      </x:c>
    </x:row>
    <x:row r="36" spans="1:13" customFormat="1" ht="18" customHeight="1">
      <x:c r="A36" s="9" t="s">
        <x:v>176</x:v>
      </x:c>
      <x:c r="B36" s="15" t="s">
        <x:v>67</x:v>
      </x:c>
      <x:c r="C36" s="14" t="s">
        <x:v>62</x:v>
      </x:c>
      <x:c r="D36" s="6">
        <x:v>4</x:v>
      </x:c>
      <x:c r="E36" s="14" t="s">
        <x:v>244</x:v>
      </x:c>
      <x:c r="F36" s="6"/>
      <x:c r="G36" s="6">
        <x:v>6</x:v>
      </x:c>
      <x:c r="H36" s="1">
        <x:f>I17*D36</x:f>
        <x:v>0</x:v>
      </x:c>
      <x:c r="I36" s="1"/>
      <x:c r="J36" s="1"/>
      <x:c r="K36" s="22">
        <x:f>G36+J36-H36-I36</x:f>
        <x:v>6</x:v>
      </x:c>
      <x:c r="L36" s="19">
        <x:f>K36/D36</x:f>
        <x:v>1.5</x:v>
      </x:c>
      <x:c r="M36" s="25">
        <x:f>IF(L36&lt;=10,119,"")</x:f>
        <x:v>119</x:v>
      </x:c>
    </x:row>
    <x:row r="37" spans="1:13" customFormat="1" ht="18" customHeight="1">
      <x:c r="A37" s="9" t="s">
        <x:v>176</x:v>
      </x:c>
      <x:c r="B37" s="15" t="s">
        <x:v>67</x:v>
      </x:c>
      <x:c r="C37" s="14" t="s">
        <x:v>62</x:v>
      </x:c>
      <x:c r="D37" s="6">
        <x:v>4</x:v>
      </x:c>
      <x:c r="E37" s="14" t="s">
        <x:v>247</x:v>
      </x:c>
      <x:c r="F37" s="6"/>
      <x:c r="G37" s="6">
        <x:v>6</x:v>
      </x:c>
      <x:c r="H37" s="1">
        <x:f>I18*D37</x:f>
        <x:v>0</x:v>
      </x:c>
      <x:c r="I37" s="1"/>
      <x:c r="J37" s="1"/>
      <x:c r="K37" s="22">
        <x:f>G37+J37-H37-I37</x:f>
        <x:v>6</x:v>
      </x:c>
      <x:c r="L37" s="19">
        <x:f>K37/D37</x:f>
        <x:v>1.5</x:v>
      </x:c>
      <x:c r="M37" s="25">
        <x:f>IF(L37&lt;=10,119,"")</x:f>
        <x:v>119</x:v>
      </x:c>
    </x:row>
    <x:row r="38" spans="1:13" customFormat="1" ht="18" customHeight="1">
      <x:c r="A38" s="9" t="s">
        <x:v>176</x:v>
      </x:c>
      <x:c r="B38" s="15" t="s">
        <x:v>67</x:v>
      </x:c>
      <x:c r="C38" s="14" t="s">
        <x:v>62</x:v>
      </x:c>
      <x:c r="D38" s="6">
        <x:v>2</x:v>
      </x:c>
      <x:c r="E38" s="14" t="s">
        <x:v>22</x:v>
      </x:c>
      <x:c r="F38" s="6"/>
      <x:c r="G38" s="6">
        <x:v>2</x:v>
      </x:c>
      <x:c r="H38" s="1">
        <x:f>I19*D38</x:f>
        <x:v>0</x:v>
      </x:c>
      <x:c r="I38" s="1"/>
      <x:c r="J38" s="1"/>
      <x:c r="K38" s="22">
        <x:f>G38+J38-H38-I38</x:f>
        <x:v>2</x:v>
      </x:c>
      <x:c r="L38" s="19">
        <x:f>K38/D38</x:f>
        <x:v>1</x:v>
      </x:c>
      <x:c r="M38" s="25">
        <x:f>IF(L38&lt;=10,119,"")</x:f>
        <x:v>119</x:v>
      </x:c>
    </x:row>
    <x:row r="39" spans="1:13" customFormat="1" ht="18" customHeight="1">
      <x:c r="A39" s="9" t="s">
        <x:v>176</x:v>
      </x:c>
      <x:c r="B39" s="15" t="s">
        <x:v>67</x:v>
      </x:c>
      <x:c r="C39" s="14" t="s">
        <x:v>62</x:v>
      </x:c>
      <x:c r="D39" s="6">
        <x:v>2</x:v>
      </x:c>
      <x:c r="E39" s="14" t="s">
        <x:v>96</x:v>
      </x:c>
      <x:c r="F39" s="6"/>
      <x:c r="G39" s="6">
        <x:v>4</x:v>
      </x:c>
      <x:c r="H39" s="1">
        <x:f>I20*D39</x:f>
        <x:v>0</x:v>
      </x:c>
      <x:c r="I39" s="1"/>
      <x:c r="J39" s="1"/>
      <x:c r="K39" s="22">
        <x:f>G39+J39-H39-I39</x:f>
        <x:v>4</x:v>
      </x:c>
      <x:c r="L39" s="19">
        <x:f>K39/D39</x:f>
        <x:v>2</x:v>
      </x:c>
      <x:c r="M39" s="25">
        <x:f>IF(L39&lt;=10,119,"")</x:f>
        <x:v>119</x:v>
      </x:c>
    </x:row>
    <x:row r="40" spans="1:13" ht="18" customHeight="1">
      <x:c r="A40" s="9" t="s">
        <x:v>176</x:v>
      </x:c>
      <x:c r="B40" s="15" t="s">
        <x:v>67</x:v>
      </x:c>
      <x:c r="C40" s="14" t="s">
        <x:v>62</x:v>
      </x:c>
      <x:c r="D40" s="1">
        <x:v>4</x:v>
      </x:c>
      <x:c r="E40" s="14" t="s">
        <x:v>83</x:v>
      </x:c>
      <x:c r="F40" s="7" t="s">
        <x:v>61</x:v>
      </x:c>
      <x:c r="G40" s="7">
        <x:f>'2026.9.4'!J27</x:f>
        <x:v>206</x:v>
      </x:c>
      <x:c r="H40" s="1">
        <x:f>K5*D40</x:f>
        <x:v>0</x:v>
      </x:c>
      <x:c r="K40" s="22">
        <x:f>G40+J40-H40-I40</x:f>
        <x:v>206</x:v>
      </x:c>
      <x:c r="L40" s="19">
        <x:f>K40/D40</x:f>
        <x:v>51.5</x:v>
      </x:c>
      <x:c r="M40" s="25" t="str">
        <x:f>IF(L40&lt;=10,119,"")</x:f>
        <x:v/>
      </x:c>
    </x:row>
    <x:row r="41" spans="1:13" ht="18" customHeight="1">
      <x:c r="A41" s="9" t="s">
        <x:v>176</x:v>
      </x:c>
      <x:c r="B41" s="15" t="s">
        <x:v>67</x:v>
      </x:c>
      <x:c r="C41" s="14" t="s">
        <x:v>62</x:v>
      </x:c>
      <x:c r="D41" s="1">
        <x:v>4</x:v>
      </x:c>
      <x:c r="E41" s="14" t="s">
        <x:v>41</x:v>
      </x:c>
      <x:c r="F41" s="7" t="s">
        <x:v>50</x:v>
      </x:c>
      <x:c r="G41" s="7">
        <x:f>'2026.9.4'!J28</x:f>
        <x:v>0</x:v>
      </x:c>
      <x:c r="H41" s="1">
        <x:f>K6*D41</x:f>
        <x:v>0</x:v>
      </x:c>
      <x:c r="K41" s="22">
        <x:f>G41+J41-H41-I41</x:f>
        <x:v>0</x:v>
      </x:c>
      <x:c r="L41" s="19">
        <x:f>K41/D41</x:f>
        <x:v>0</x:v>
      </x:c>
      <x:c r="M41" s="25">
        <x:f>IF(L41&lt;=10,119,"")</x:f>
        <x:v>119</x:v>
      </x:c>
    </x:row>
    <x:row r="42" spans="1:13" ht="18" customHeight="1">
      <x:c r="A42" s="9" t="s">
        <x:v>176</x:v>
      </x:c>
      <x:c r="B42" s="15" t="s">
        <x:v>67</x:v>
      </x:c>
      <x:c r="C42" s="14" t="s">
        <x:v>62</x:v>
      </x:c>
      <x:c r="D42" s="1">
        <x:v>4</x:v>
      </x:c>
      <x:c r="E42" s="14" t="s">
        <x:v>19</x:v>
      </x:c>
      <x:c r="F42" s="7" t="s">
        <x:v>74</x:v>
      </x:c>
      <x:c r="G42" s="7">
        <x:f>'2026.9.4'!J29</x:f>
        <x:v>320</x:v>
      </x:c>
      <x:c r="H42" s="1">
        <x:f>SUM(K7:K8)*D42</x:f>
        <x:v>0</x:v>
      </x:c>
      <x:c r="K42" s="22">
        <x:f>G42+J42-H42-I42</x:f>
        <x:v>320</x:v>
      </x:c>
      <x:c r="L42" s="19">
        <x:f>K42/D42</x:f>
        <x:v>80</x:v>
      </x:c>
      <x:c r="M42" s="25" t="str">
        <x:f>IF(L42&lt;=10,119,"")</x:f>
        <x:v/>
      </x:c>
    </x:row>
    <x:row r="43" spans="1:13" customFormat="1" ht="18" customHeight="1">
      <x:c r="A43" s="9" t="s">
        <x:v>176</x:v>
      </x:c>
      <x:c r="B43" s="15" t="s">
        <x:v>243</x:v>
      </x:c>
      <x:c r="C43" s="14" t="s">
        <x:v>62</x:v>
      </x:c>
      <x:c r="D43" s="6">
        <x:v>8</x:v>
      </x:c>
      <x:c r="E43" s="14" t="s">
        <x:v>250</x:v>
      </x:c>
      <x:c r="F43" s="1" t="s">
        <x:v>69</x:v>
      </x:c>
      <x:c r="G43" s="7">
        <x:f>'2026.9.4'!J30</x:f>
        <x:v>612</x:v>
      </x:c>
      <x:c r="H43" s="6">
        <x:f>SUM(I3:I12)*D43</x:f>
        <x:v>0</x:v>
      </x:c>
      <x:c r="I43" s="6"/>
      <x:c r="J43" s="6"/>
      <x:c r="K43" s="22">
        <x:f>G43+J43-H43-I43</x:f>
        <x:v>612</x:v>
      </x:c>
      <x:c r="L43" s="19">
        <x:f>K43/D43</x:f>
        <x:v>76.5</x:v>
      </x:c>
      <x:c r="M43" s="25" t="str">
        <x:f>IF(L43&lt;=10,119,"")</x:f>
        <x:v/>
      </x:c>
    </x:row>
    <x:row r="44" spans="1:13" customFormat="1" ht="18" customHeight="1">
      <x:c r="A44" s="9" t="s">
        <x:v>176</x:v>
      </x:c>
      <x:c r="B44" s="15" t="s">
        <x:v>243</x:v>
      </x:c>
      <x:c r="C44" s="14" t="s">
        <x:v>62</x:v>
      </x:c>
      <x:c r="D44" s="6">
        <x:v>8</x:v>
      </x:c>
      <x:c r="E44" s="14" t="s">
        <x:v>239</x:v>
      </x:c>
      <x:c r="F44" s="1" t="s">
        <x:v>61</x:v>
      </x:c>
      <x:c r="G44" s="7">
        <x:f>'2026.9.4'!J31</x:f>
        <x:v>246</x:v>
      </x:c>
      <x:c r="H44" s="1">
        <x:f>SUM(I13:I15)*D44</x:f>
        <x:v>0</x:v>
      </x:c>
      <x:c r="I44" s="1"/>
      <x:c r="J44" s="1"/>
      <x:c r="K44" s="22">
        <x:f>G44+J44-H44-I44</x:f>
        <x:v>246</x:v>
      </x:c>
      <x:c r="L44" s="19">
        <x:f>K44/D44</x:f>
        <x:v>30.75</x:v>
      </x:c>
      <x:c r="M44" s="25" t="str">
        <x:f>IF(L44&lt;=10,119,"")</x:f>
        <x:v/>
      </x:c>
    </x:row>
    <x:row r="45" spans="1:13" customFormat="1" ht="18" customHeight="1">
      <x:c r="A45" s="9" t="s">
        <x:v>176</x:v>
      </x:c>
      <x:c r="B45" s="15" t="s">
        <x:v>243</x:v>
      </x:c>
      <x:c r="C45" s="14" t="s">
        <x:v>62</x:v>
      </x:c>
      <x:c r="D45" s="6">
        <x:v>8</x:v>
      </x:c>
      <x:c r="E45" s="14" t="s">
        <x:v>70</x:v>
      </x:c>
      <x:c r="F45" s="7" t="s">
        <x:v>26</x:v>
      </x:c>
      <x:c r="G45" s="7">
        <x:f>'2026.9.4'!J32</x:f>
        <x:v>530</x:v>
      </x:c>
      <x:c r="H45" s="1">
        <x:f>I16*D45</x:f>
        <x:v>0</x:v>
      </x:c>
      <x:c r="I45" s="1"/>
      <x:c r="J45" s="1"/>
      <x:c r="K45" s="22">
        <x:f>G45+J45-H45-I45</x:f>
        <x:v>530</x:v>
      </x:c>
      <x:c r="L45" s="19">
        <x:f>K45/D45</x:f>
        <x:v>66.25</x:v>
      </x:c>
      <x:c r="M45" s="25" t="str">
        <x:f>IF(L45&lt;=10,119,"")</x:f>
        <x:v/>
      </x:c>
    </x:row>
    <x:row r="46" spans="1:13" customFormat="1" ht="18" customHeight="1">
      <x:c r="A46" s="9" t="s">
        <x:v>176</x:v>
      </x:c>
      <x:c r="B46" s="15" t="s">
        <x:v>243</x:v>
      </x:c>
      <x:c r="C46" s="14" t="s">
        <x:v>62</x:v>
      </x:c>
      <x:c r="D46" s="6">
        <x:v>5</x:v>
      </x:c>
      <x:c r="E46" s="14" t="s">
        <x:v>244</x:v>
      </x:c>
      <x:c r="F46" s="6"/>
      <x:c r="G46" s="6">
        <x:v>10</x:v>
      </x:c>
      <x:c r="H46" s="1">
        <x:f>SUM(I17)*D46</x:f>
        <x:v>0</x:v>
      </x:c>
      <x:c r="I46" s="1"/>
      <x:c r="J46" s="1"/>
      <x:c r="K46" s="22">
        <x:f>G46+J46-H46-I46</x:f>
        <x:v>10</x:v>
      </x:c>
      <x:c r="L46" s="19">
        <x:f>K46/D46</x:f>
        <x:v>2</x:v>
      </x:c>
      <x:c r="M46" s="25">
        <x:f>IF(L46&lt;=10,119,"")</x:f>
        <x:v>119</x:v>
      </x:c>
    </x:row>
    <x:row r="47" spans="1:13" customFormat="1" ht="18" customHeight="1">
      <x:c r="A47" s="9" t="s">
        <x:v>176</x:v>
      </x:c>
      <x:c r="B47" s="15" t="s">
        <x:v>243</x:v>
      </x:c>
      <x:c r="C47" s="14" t="s">
        <x:v>62</x:v>
      </x:c>
      <x:c r="D47" s="6">
        <x:v>5</x:v>
      </x:c>
      <x:c r="E47" s="14" t="s">
        <x:v>247</x:v>
      </x:c>
      <x:c r="F47" s="6"/>
      <x:c r="G47" s="6">
        <x:v>10</x:v>
      </x:c>
      <x:c r="H47" s="1">
        <x:f>SUM(I18)*D47</x:f>
        <x:v>0</x:v>
      </x:c>
      <x:c r="I47" s="1"/>
      <x:c r="J47" s="1"/>
      <x:c r="K47" s="22">
        <x:f>G47+J47-H47-I47</x:f>
        <x:v>10</x:v>
      </x:c>
      <x:c r="L47" s="19">
        <x:f>K47/D47</x:f>
        <x:v>2</x:v>
      </x:c>
      <x:c r="M47" s="25">
        <x:f>IF(L47&lt;=10,119,"")</x:f>
        <x:v>119</x:v>
      </x:c>
    </x:row>
    <x:row r="48" spans="1:13" customFormat="1" ht="18" customHeight="1">
      <x:c r="A48" s="9" t="s">
        <x:v>176</x:v>
      </x:c>
      <x:c r="B48" s="15" t="s">
        <x:v>243</x:v>
      </x:c>
      <x:c r="C48" s="14" t="s">
        <x:v>62</x:v>
      </x:c>
      <x:c r="D48" s="6">
        <x:v>8</x:v>
      </x:c>
      <x:c r="E48" s="14" t="s">
        <x:v>22</x:v>
      </x:c>
      <x:c r="F48" s="6"/>
      <x:c r="G48" s="6">
        <x:v>8</x:v>
      </x:c>
      <x:c r="H48" s="1">
        <x:f>SUM(I19)*D48</x:f>
        <x:v>0</x:v>
      </x:c>
      <x:c r="I48" s="1"/>
      <x:c r="J48" s="1"/>
      <x:c r="K48" s="22">
        <x:f>G48+J48-H48-I48</x:f>
        <x:v>8</x:v>
      </x:c>
      <x:c r="L48" s="19">
        <x:f>K48/D48</x:f>
        <x:v>1</x:v>
      </x:c>
      <x:c r="M48" s="25">
        <x:f>IF(L48&lt;=10,119,"")</x:f>
        <x:v>119</x:v>
      </x:c>
    </x:row>
    <x:row r="49" spans="1:13" customFormat="1" ht="18" customHeight="1">
      <x:c r="A49" s="9" t="s">
        <x:v>176</x:v>
      </x:c>
      <x:c r="B49" s="15" t="s">
        <x:v>243</x:v>
      </x:c>
      <x:c r="C49" s="14" t="s">
        <x:v>62</x:v>
      </x:c>
      <x:c r="D49" s="6">
        <x:v>8</x:v>
      </x:c>
      <x:c r="E49" s="14" t="s">
        <x:v>96</x:v>
      </x:c>
      <x:c r="F49" s="6"/>
      <x:c r="G49" s="6">
        <x:v>16</x:v>
      </x:c>
      <x:c r="H49" s="1">
        <x:f>SUM(I20)*D49</x:f>
        <x:v>0</x:v>
      </x:c>
      <x:c r="I49" s="1"/>
      <x:c r="J49" s="1"/>
      <x:c r="K49" s="22">
        <x:f>G49+J49-H49-I49</x:f>
        <x:v>16</x:v>
      </x:c>
      <x:c r="L49" s="19">
        <x:f>K49/D49</x:f>
        <x:v>2</x:v>
      </x:c>
      <x:c r="M49" s="25">
        <x:f>IF(L49&lt;=10,119,"")</x:f>
        <x:v>119</x:v>
      </x:c>
    </x:row>
    <x:row r="50" spans="1:13" customFormat="1" ht="18" customHeight="1">
      <x:c r="A50" s="9" t="s">
        <x:v>176</x:v>
      </x:c>
      <x:c r="B50" s="15" t="s">
        <x:v>243</x:v>
      </x:c>
      <x:c r="C50" s="14" t="s">
        <x:v>62</x:v>
      </x:c>
      <x:c r="D50" s="1">
        <x:v>5</x:v>
      </x:c>
      <x:c r="E50" s="14" t="s">
        <x:v>83</x:v>
      </x:c>
      <x:c r="F50" s="7" t="s">
        <x:v>82</x:v>
      </x:c>
      <x:c r="G50" s="7">
        <x:f>'2026.9.4'!J33</x:f>
        <x:v>180</x:v>
      </x:c>
      <x:c r="H50" s="1">
        <x:f>K5*D50</x:f>
        <x:v>0</x:v>
      </x:c>
      <x:c r="I50" s="1"/>
      <x:c r="J50" s="1"/>
      <x:c r="K50" s="22">
        <x:f>G50+J50-H50-I50</x:f>
        <x:v>180</x:v>
      </x:c>
      <x:c r="L50" s="19">
        <x:f>K50/D50</x:f>
        <x:v>36</x:v>
      </x:c>
      <x:c r="M50" s="25" t="str">
        <x:f>IF(L50&lt;=10,119,"")</x:f>
        <x:v/>
      </x:c>
    </x:row>
    <x:row r="51" spans="1:13" customFormat="1" ht="18" customHeight="1">
      <x:c r="A51" s="9" t="s">
        <x:v>176</x:v>
      </x:c>
      <x:c r="B51" s="15" t="s">
        <x:v>243</x:v>
      </x:c>
      <x:c r="C51" s="14" t="s">
        <x:v>62</x:v>
      </x:c>
      <x:c r="D51" s="1">
        <x:v>5</x:v>
      </x:c>
      <x:c r="E51" s="14" t="s">
        <x:v>41</x:v>
      </x:c>
      <x:c r="F51" s="7" t="s">
        <x:v>48</x:v>
      </x:c>
      <x:c r="G51" s="7">
        <x:f>'2026.9.4'!J34</x:f>
        <x:v>5</x:v>
      </x:c>
      <x:c r="H51" s="1">
        <x:f>K6*D51</x:f>
        <x:v>0</x:v>
      </x:c>
      <x:c r="I51" s="1"/>
      <x:c r="J51" s="1"/>
      <x:c r="K51" s="22">
        <x:f>G51+J51-H51-I51</x:f>
        <x:v>5</x:v>
      </x:c>
      <x:c r="L51" s="19">
        <x:f>K51/D51</x:f>
        <x:v>1</x:v>
      </x:c>
      <x:c r="M51" s="25">
        <x:f>IF(L51&lt;=10,119,"")</x:f>
        <x:v>119</x:v>
      </x:c>
    </x:row>
    <x:row r="52" spans="1:13" customFormat="1" ht="18" customHeight="1">
      <x:c r="A52" s="9" t="s">
        <x:v>176</x:v>
      </x:c>
      <x:c r="B52" s="15" t="s">
        <x:v>243</x:v>
      </x:c>
      <x:c r="C52" s="14" t="s">
        <x:v>62</x:v>
      </x:c>
      <x:c r="D52" s="1">
        <x:v>5</x:v>
      </x:c>
      <x:c r="E52" s="14" t="s">
        <x:v>19</x:v>
      </x:c>
      <x:c r="F52" s="7" t="s">
        <x:v>97</x:v>
      </x:c>
      <x:c r="G52" s="7">
        <x:f>'2026.9.4'!J35</x:f>
        <x:v>370</x:v>
      </x:c>
      <x:c r="H52" s="1">
        <x:f>K8*D52</x:f>
        <x:v>0</x:v>
      </x:c>
      <x:c r="I52" s="1"/>
      <x:c r="J52" s="1"/>
      <x:c r="K52" s="22">
        <x:f>G52+J52-H52-I52</x:f>
        <x:v>370</x:v>
      </x:c>
      <x:c r="L52" s="19">
        <x:f>K52/D52</x:f>
        <x:v>74</x:v>
      </x:c>
      <x:c r="M52" s="25" t="str">
        <x:f>IF(L52&lt;=10,119,"")</x:f>
        <x:v/>
      </x:c>
    </x:row>
    <x:row r="53" spans="1:13" customFormat="1" ht="18" customHeight="1">
      <x:c r="A53" s="9" t="s">
        <x:v>176</x:v>
      </x:c>
      <x:c r="B53" s="15" t="s">
        <x:v>38</x:v>
      </x:c>
      <x:c r="C53" s="14" t="s">
        <x:v>156</x:v>
      </x:c>
      <x:c r="D53" s="6">
        <x:v>2</x:v>
      </x:c>
      <x:c r="E53" s="14" t="s">
        <x:v>250</x:v>
      </x:c>
      <x:c r="F53" s="1" t="s">
        <x:v>120</x:v>
      </x:c>
      <x:c r="G53" s="7">
        <x:f>'2026.9.4'!J36</x:f>
        <x:v>79</x:v>
      </x:c>
      <x:c r="H53" s="6">
        <x:f>SUM(I3:I12)*D53</x:f>
        <x:v>0</x:v>
      </x:c>
      <x:c r="I53" s="6"/>
      <x:c r="J53" s="6"/>
      <x:c r="K53" s="22">
        <x:f>G53+J53-H53-I53</x:f>
        <x:v>79</x:v>
      </x:c>
      <x:c r="L53" s="19">
        <x:f>K53/D53</x:f>
        <x:v>39.5</x:v>
      </x:c>
      <x:c r="M53" s="25" t="str">
        <x:f>IF(L53&lt;=10,119,"")</x:f>
        <x:v/>
      </x:c>
    </x:row>
    <x:row r="54" spans="1:13" customFormat="1" ht="18" customHeight="1">
      <x:c r="A54" s="9" t="s">
        <x:v>176</x:v>
      </x:c>
      <x:c r="B54" s="15" t="s">
        <x:v>38</x:v>
      </x:c>
      <x:c r="C54" s="14" t="s">
        <x:v>156</x:v>
      </x:c>
      <x:c r="D54" s="6">
        <x:v>2</x:v>
      </x:c>
      <x:c r="E54" s="14" t="s">
        <x:v>239</x:v>
      </x:c>
      <x:c r="F54" s="1" t="s">
        <x:v>64</x:v>
      </x:c>
      <x:c r="G54" s="7">
        <x:f>'2026.9.4'!J37</x:f>
        <x:v>116</x:v>
      </x:c>
      <x:c r="H54" s="1">
        <x:f>SUM(I13:I15)*D54</x:f>
        <x:v>0</x:v>
      </x:c>
      <x:c r="I54" s="1"/>
      <x:c r="J54" s="1"/>
      <x:c r="K54" s="22">
        <x:f>G54+J54-H54-I54</x:f>
        <x:v>116</x:v>
      </x:c>
      <x:c r="L54" s="19">
        <x:f>K54/D54</x:f>
        <x:v>58</x:v>
      </x:c>
      <x:c r="M54" s="25" t="str">
        <x:f>IF(L54&lt;=10,119,"")</x:f>
        <x:v/>
      </x:c>
    </x:row>
    <x:row r="55" spans="1:13" customFormat="1" ht="18" customHeight="1">
      <x:c r="A55" s="9" t="s">
        <x:v>176</x:v>
      </x:c>
      <x:c r="B55" s="15" t="s">
        <x:v>38</x:v>
      </x:c>
      <x:c r="C55" s="14" t="s">
        <x:v>156</x:v>
      </x:c>
      <x:c r="D55" s="6">
        <x:v>2</x:v>
      </x:c>
      <x:c r="E55" s="14" t="s">
        <x:v>70</x:v>
      </x:c>
      <x:c r="F55" s="7" t="s">
        <x:v>63</x:v>
      </x:c>
      <x:c r="G55" s="7">
        <x:f>'2026.9.4'!J38</x:f>
        <x:v>70</x:v>
      </x:c>
      <x:c r="H55" s="1">
        <x:f>I16*D55</x:f>
        <x:v>0</x:v>
      </x:c>
      <x:c r="I55" s="1"/>
      <x:c r="J55" s="1"/>
      <x:c r="K55" s="22">
        <x:f>G55+J55-H55-I55</x:f>
        <x:v>70</x:v>
      </x:c>
      <x:c r="L55" s="19">
        <x:f>K55/D55</x:f>
        <x:v>35</x:v>
      </x:c>
      <x:c r="M55" s="25" t="str">
        <x:f>IF(L55&lt;=10,119,"")</x:f>
        <x:v/>
      </x:c>
    </x:row>
    <x:row r="56" spans="1:13" customFormat="1" ht="18" customHeight="1">
      <x:c r="A56" s="9" t="s">
        <x:v>176</x:v>
      </x:c>
      <x:c r="B56" s="15" t="s">
        <x:v>38</x:v>
      </x:c>
      <x:c r="C56" s="14" t="s">
        <x:v>156</x:v>
      </x:c>
      <x:c r="D56" s="6">
        <x:v>2</x:v>
      </x:c>
      <x:c r="E56" s="14" t="s">
        <x:v>244</x:v>
      </x:c>
      <x:c r="F56" s="6"/>
      <x:c r="G56" s="6">
        <x:v>0</x:v>
      </x:c>
      <x:c r="H56" s="1">
        <x:f>I17*D56</x:f>
        <x:v>0</x:v>
      </x:c>
      <x:c r="I56" s="1"/>
      <x:c r="J56" s="1"/>
      <x:c r="K56" s="22">
        <x:f>G56+J56-H56-I56</x:f>
        <x:v>0</x:v>
      </x:c>
      <x:c r="L56" s="19">
        <x:f>K56/D56</x:f>
        <x:v>0</x:v>
      </x:c>
      <x:c r="M56" s="25">
        <x:f>IF(L56&lt;=10,119,"")</x:f>
        <x:v>119</x:v>
      </x:c>
    </x:row>
    <x:row r="57" spans="1:13" customFormat="1" ht="18" customHeight="1">
      <x:c r="A57" s="9" t="s">
        <x:v>176</x:v>
      </x:c>
      <x:c r="B57" s="15" t="s">
        <x:v>38</x:v>
      </x:c>
      <x:c r="C57" s="14" t="s">
        <x:v>156</x:v>
      </x:c>
      <x:c r="D57" s="6">
        <x:v>2</x:v>
      </x:c>
      <x:c r="E57" s="14" t="s">
        <x:v>247</x:v>
      </x:c>
      <x:c r="F57" s="6"/>
      <x:c r="G57" s="6">
        <x:v>0</x:v>
      </x:c>
      <x:c r="H57" s="1">
        <x:f>I18*D57</x:f>
        <x:v>0</x:v>
      </x:c>
      <x:c r="I57" s="1"/>
      <x:c r="J57" s="1"/>
      <x:c r="K57" s="22">
        <x:f>G57+J57-H57-I57</x:f>
        <x:v>0</x:v>
      </x:c>
      <x:c r="L57" s="19">
        <x:f>K57/D57</x:f>
        <x:v>0</x:v>
      </x:c>
      <x:c r="M57" s="25">
        <x:f>IF(L57&lt;=10,119,"")</x:f>
        <x:v>119</x:v>
      </x:c>
    </x:row>
    <x:row r="58" spans="1:13" customFormat="1" ht="18" customHeight="1">
      <x:c r="A58" s="9" t="s">
        <x:v>176</x:v>
      </x:c>
      <x:c r="B58" s="15" t="s">
        <x:v>38</x:v>
      </x:c>
      <x:c r="C58" s="14" t="s">
        <x:v>156</x:v>
      </x:c>
      <x:c r="D58" s="6">
        <x:v>2</x:v>
      </x:c>
      <x:c r="E58" s="14" t="s">
        <x:v>22</x:v>
      </x:c>
      <x:c r="F58" s="6"/>
      <x:c r="G58" s="6">
        <x:v>2</x:v>
      </x:c>
      <x:c r="H58" s="1">
        <x:f>I19*D58</x:f>
        <x:v>0</x:v>
      </x:c>
      <x:c r="I58" s="1"/>
      <x:c r="J58" s="1"/>
      <x:c r="K58" s="22">
        <x:f>G58+J58-H58-I58</x:f>
        <x:v>2</x:v>
      </x:c>
      <x:c r="L58" s="19">
        <x:f>K58/D58</x:f>
        <x:v>1</x:v>
      </x:c>
      <x:c r="M58" s="25">
        <x:f>IF(L58&lt;=10,119,"")</x:f>
        <x:v>119</x:v>
      </x:c>
    </x:row>
    <x:row r="59" spans="1:13" customFormat="1" ht="18" customHeight="1">
      <x:c r="A59" s="9" t="s">
        <x:v>176</x:v>
      </x:c>
      <x:c r="B59" s="15" t="s">
        <x:v>38</x:v>
      </x:c>
      <x:c r="C59" s="14" t="s">
        <x:v>156</x:v>
      </x:c>
      <x:c r="D59" s="6">
        <x:v>2</x:v>
      </x:c>
      <x:c r="E59" s="14" t="s">
        <x:v>96</x:v>
      </x:c>
      <x:c r="F59" s="6"/>
      <x:c r="G59" s="6">
        <x:v>4</x:v>
      </x:c>
      <x:c r="H59" s="1">
        <x:f>I20*D59</x:f>
        <x:v>0</x:v>
      </x:c>
      <x:c r="I59" s="1"/>
      <x:c r="J59" s="1"/>
      <x:c r="K59" s="22">
        <x:f>G59+J59-H59-I59</x:f>
        <x:v>4</x:v>
      </x:c>
      <x:c r="L59" s="19">
        <x:f>K59/D59</x:f>
        <x:v>2</x:v>
      </x:c>
      <x:c r="M59" s="25">
        <x:f>IF(L59&lt;=10,119,"")</x:f>
        <x:v>119</x:v>
      </x:c>
    </x:row>
    <x:row r="60" spans="1:13" customFormat="1" ht="18" customHeight="1">
      <x:c r="A60" s="9" t="s">
        <x:v>176</x:v>
      </x:c>
      <x:c r="B60" s="15" t="s">
        <x:v>38</x:v>
      </x:c>
      <x:c r="C60" s="14" t="s">
        <x:v>156</x:v>
      </x:c>
      <x:c r="D60" s="1">
        <x:v>2</x:v>
      </x:c>
      <x:c r="E60" s="14" t="s">
        <x:v>83</x:v>
      </x:c>
      <x:c r="F60" s="1" t="s">
        <x:v>236</x:v>
      </x:c>
      <x:c r="G60" s="7">
        <x:f>'2026.9.4'!J39</x:f>
        <x:v>68</x:v>
      </x:c>
      <x:c r="H60" s="1">
        <x:f>K5*D60</x:f>
        <x:v>0</x:v>
      </x:c>
      <x:c r="I60" s="1"/>
      <x:c r="J60" s="1"/>
      <x:c r="K60" s="22">
        <x:f>G60+J60-H60-I60</x:f>
        <x:v>68</x:v>
      </x:c>
      <x:c r="L60" s="19">
        <x:f>K60/D60</x:f>
        <x:v>34</x:v>
      </x:c>
      <x:c r="M60" s="25" t="str">
        <x:f>IF(L60&lt;=10,119,"")</x:f>
        <x:v/>
      </x:c>
    </x:row>
    <x:row r="61" spans="1:13" customFormat="1" ht="18" customHeight="1">
      <x:c r="A61" s="9" t="s">
        <x:v>176</x:v>
      </x:c>
      <x:c r="B61" s="15" t="s">
        <x:v>38</x:v>
      </x:c>
      <x:c r="C61" s="14" t="s">
        <x:v>156</x:v>
      </x:c>
      <x:c r="D61" s="1">
        <x:v>2</x:v>
      </x:c>
      <x:c r="E61" s="14" t="s">
        <x:v>41</x:v>
      </x:c>
      <x:c r="F61" s="7" t="s">
        <x:v>258</x:v>
      </x:c>
      <x:c r="G61" s="7">
        <x:f>'2026.9.4'!J40</x:f>
        <x:v>0</x:v>
      </x:c>
      <x:c r="H61" s="1">
        <x:f>K6*D61</x:f>
        <x:v>0</x:v>
      </x:c>
      <x:c r="I61" s="1"/>
      <x:c r="J61" s="1"/>
      <x:c r="K61" s="22">
        <x:f>G61+J61-H61-I61</x:f>
        <x:v>0</x:v>
      </x:c>
      <x:c r="L61" s="19">
        <x:f>K61/D61</x:f>
        <x:v>0</x:v>
      </x:c>
      <x:c r="M61" s="25">
        <x:f>IF(L61&lt;=10,119,"")</x:f>
        <x:v>119</x:v>
      </x:c>
    </x:row>
    <x:row r="62" spans="1:13" customFormat="1" ht="18" customHeight="1">
      <x:c r="A62" s="9" t="s">
        <x:v>176</x:v>
      </x:c>
      <x:c r="B62" s="15" t="s">
        <x:v>38</x:v>
      </x:c>
      <x:c r="C62" s="14" t="s">
        <x:v>156</x:v>
      </x:c>
      <x:c r="D62" s="1">
        <x:v>2</x:v>
      </x:c>
      <x:c r="E62" s="14" t="s">
        <x:v>47</x:v>
      </x:c>
      <x:c r="F62" s="7" t="s">
        <x:v>232</x:v>
      </x:c>
      <x:c r="G62" s="7">
        <x:f>'2026.9.4'!J41</x:f>
        <x:v>88</x:v>
      </x:c>
      <x:c r="H62" s="1">
        <x:f>K7*D62</x:f>
        <x:v>0</x:v>
      </x:c>
      <x:c r="I62" s="1"/>
      <x:c r="J62" s="1"/>
      <x:c r="K62" s="22">
        <x:f>G62+J62-H62-I62</x:f>
        <x:v>88</x:v>
      </x:c>
      <x:c r="L62" s="19">
        <x:f>K62/D62</x:f>
        <x:v>44</x:v>
      </x:c>
      <x:c r="M62" s="25" t="str">
        <x:f>IF(L62&lt;=10,119,"")</x:f>
        <x:v/>
      </x:c>
    </x:row>
    <x:row r="63" spans="1:13" ht="18" customHeight="1">
      <x:c r="A63" s="9" t="s">
        <x:v>176</x:v>
      </x:c>
      <x:c r="B63" s="15" t="s">
        <x:v>38</x:v>
      </x:c>
      <x:c r="C63" s="14" t="s">
        <x:v>156</x:v>
      </x:c>
      <x:c r="D63" s="1">
        <x:v>2</x:v>
      </x:c>
      <x:c r="E63" s="9" t="s">
        <x:v>73</x:v>
      </x:c>
      <x:c r="F63" s="7" t="s">
        <x:v>52</x:v>
      </x:c>
      <x:c r="G63" s="7">
        <x:f>'2026.9.4'!J42</x:f>
        <x:v>77</x:v>
      </x:c>
      <x:c r="H63" s="1">
        <x:f>K8*D63</x:f>
        <x:v>0</x:v>
      </x:c>
      <x:c r="K63" s="22">
        <x:f>G63+J63-H63-I63</x:f>
        <x:v>77</x:v>
      </x:c>
      <x:c r="L63" s="19">
        <x:f>K63/D63</x:f>
        <x:v>38.5</x:v>
      </x:c>
      <x:c r="M63" s="25" t="str">
        <x:f>IF(L63&lt;=10,119,"")</x:f>
        <x:v/>
      </x:c>
    </x:row>
    <x:row r="64" spans="1:13" customFormat="1" ht="18" customHeight="1">
      <x:c r="A64" s="9" t="s">
        <x:v>176</x:v>
      </x:c>
      <x:c r="B64" s="15" t="s">
        <x:v>253</x:v>
      </x:c>
      <x:c r="C64" s="14" t="s">
        <x:v>143</x:v>
      </x:c>
      <x:c r="D64" s="6">
        <x:v>2</x:v>
      </x:c>
      <x:c r="E64" s="14" t="s">
        <x:v>250</x:v>
      </x:c>
      <x:c r="F64" s="1" t="s">
        <x:v>201</x:v>
      </x:c>
      <x:c r="G64" s="7">
        <x:f>'2026.9.4'!J43</x:f>
        <x:v>36</x:v>
      </x:c>
      <x:c r="H64" s="6">
        <x:f>SUM(I3:I12)*D64</x:f>
        <x:v>0</x:v>
      </x:c>
      <x:c r="I64" s="6"/>
      <x:c r="J64" s="6"/>
      <x:c r="K64" s="22">
        <x:f>G64+J64-H64-I64</x:f>
        <x:v>36</x:v>
      </x:c>
      <x:c r="L64" s="19">
        <x:f>K64/D64</x:f>
        <x:v>18</x:v>
      </x:c>
      <x:c r="M64" s="25" t="str">
        <x:f>IF(L64&lt;=10,119,"")</x:f>
        <x:v/>
      </x:c>
    </x:row>
    <x:row r="65" spans="1:13" customFormat="1" ht="18" customHeight="1">
      <x:c r="A65" s="9" t="s">
        <x:v>176</x:v>
      </x:c>
      <x:c r="B65" s="15" t="s">
        <x:v>253</x:v>
      </x:c>
      <x:c r="C65" s="14" t="s">
        <x:v>143</x:v>
      </x:c>
      <x:c r="D65" s="6">
        <x:v>2</x:v>
      </x:c>
      <x:c r="E65" s="14" t="s">
        <x:v>239</x:v>
      </x:c>
      <x:c r="F65" s="1" t="s">
        <x:v>150</x:v>
      </x:c>
      <x:c r="G65" s="7">
        <x:f>'2026.9.4'!J44</x:f>
        <x:v>177</x:v>
      </x:c>
      <x:c r="H65" s="1">
        <x:f>SUM(I13:I15)*D65</x:f>
        <x:v>0</x:v>
      </x:c>
      <x:c r="I65" s="1"/>
      <x:c r="J65" s="1"/>
      <x:c r="K65" s="22">
        <x:f>G65+J65-H65-I65</x:f>
        <x:v>177</x:v>
      </x:c>
      <x:c r="L65" s="19">
        <x:f>K65/D65</x:f>
        <x:v>88.5</x:v>
      </x:c>
      <x:c r="M65" s="25" t="str">
        <x:f>IF(L65&lt;=10,119,"")</x:f>
        <x:v/>
      </x:c>
    </x:row>
    <x:row r="66" spans="1:13" customFormat="1" ht="18" customHeight="1">
      <x:c r="A66" s="9" t="s">
        <x:v>176</x:v>
      </x:c>
      <x:c r="B66" s="15" t="s">
        <x:v>253</x:v>
      </x:c>
      <x:c r="C66" s="14" t="s">
        <x:v>143</x:v>
      </x:c>
      <x:c r="D66" s="6">
        <x:v>2</x:v>
      </x:c>
      <x:c r="E66" s="14" t="s">
        <x:v>70</x:v>
      </x:c>
      <x:c r="F66" s="7" t="s">
        <x:v>148</x:v>
      </x:c>
      <x:c r="G66" s="7">
        <x:f>'2026.9.4'!J45</x:f>
        <x:v>65</x:v>
      </x:c>
      <x:c r="H66" s="1">
        <x:f>I16*D66</x:f>
        <x:v>0</x:v>
      </x:c>
      <x:c r="I66" s="1"/>
      <x:c r="J66" s="1"/>
      <x:c r="K66" s="22">
        <x:f>G66+J66-H66-I66</x:f>
        <x:v>65</x:v>
      </x:c>
      <x:c r="L66" s="19">
        <x:f>K66/D66</x:f>
        <x:v>32.5</x:v>
      </x:c>
      <x:c r="M66" s="25" t="str">
        <x:f>IF(L66&lt;=10,119,"")</x:f>
        <x:v/>
      </x:c>
    </x:row>
    <x:row r="67" spans="1:13" customFormat="1" ht="18" customHeight="1">
      <x:c r="A67" s="9" t="s">
        <x:v>176</x:v>
      </x:c>
      <x:c r="B67" s="15" t="s">
        <x:v>253</x:v>
      </x:c>
      <x:c r="C67" s="14" t="s">
        <x:v>143</x:v>
      </x:c>
      <x:c r="D67" s="6">
        <x:v>1</x:v>
      </x:c>
      <x:c r="E67" s="14" t="s">
        <x:v>244</x:v>
      </x:c>
      <x:c r="F67" s="6"/>
      <x:c r="G67" s="6">
        <x:v>0</x:v>
      </x:c>
      <x:c r="H67" s="1">
        <x:f>I17*D67</x:f>
        <x:v>0</x:v>
      </x:c>
      <x:c r="I67" s="1"/>
      <x:c r="J67" s="1"/>
      <x:c r="K67" s="22">
        <x:f>G67+J67-H67-I67</x:f>
        <x:v>0</x:v>
      </x:c>
      <x:c r="L67" s="19">
        <x:f>K67/D67</x:f>
        <x:v>0</x:v>
      </x:c>
      <x:c r="M67" s="25">
        <x:f>IF(L67&lt;=10,119,"")</x:f>
        <x:v>119</x:v>
      </x:c>
    </x:row>
    <x:row r="68" spans="1:13" customFormat="1" ht="18" customHeight="1">
      <x:c r="A68" s="9" t="s">
        <x:v>176</x:v>
      </x:c>
      <x:c r="B68" s="15" t="s">
        <x:v>253</x:v>
      </x:c>
      <x:c r="C68" s="14" t="s">
        <x:v>143</x:v>
      </x:c>
      <x:c r="D68" s="6">
        <x:v>1</x:v>
      </x:c>
      <x:c r="E68" s="14" t="s">
        <x:v>247</x:v>
      </x:c>
      <x:c r="F68" s="6"/>
      <x:c r="G68" s="6">
        <x:v>0</x:v>
      </x:c>
      <x:c r="H68" s="1">
        <x:f>I18*D68</x:f>
        <x:v>0</x:v>
      </x:c>
      <x:c r="I68" s="1"/>
      <x:c r="J68" s="1"/>
      <x:c r="K68" s="22">
        <x:f>G68+J68-H68-I68</x:f>
        <x:v>0</x:v>
      </x:c>
      <x:c r="L68" s="19">
        <x:f>K68/D68</x:f>
        <x:v>0</x:v>
      </x:c>
      <x:c r="M68" s="25">
        <x:f>IF(L68&lt;=10,119,"")</x:f>
        <x:v>119</x:v>
      </x:c>
    </x:row>
    <x:row r="69" spans="1:13" customFormat="1" ht="18" customHeight="1">
      <x:c r="A69" s="9" t="s">
        <x:v>176</x:v>
      </x:c>
      <x:c r="B69" s="15" t="s">
        <x:v>253</x:v>
      </x:c>
      <x:c r="C69" s="14" t="s">
        <x:v>143</x:v>
      </x:c>
      <x:c r="D69" s="6">
        <x:v>2</x:v>
      </x:c>
      <x:c r="E69" s="14" t="s">
        <x:v>22</x:v>
      </x:c>
      <x:c r="F69" s="6"/>
      <x:c r="G69" s="6">
        <x:v>2</x:v>
      </x:c>
      <x:c r="H69" s="1">
        <x:f>I19*D69</x:f>
        <x:v>0</x:v>
      </x:c>
      <x:c r="I69" s="1"/>
      <x:c r="J69" s="1"/>
      <x:c r="K69" s="22">
        <x:f>G69+J69-H69-I69</x:f>
        <x:v>2</x:v>
      </x:c>
      <x:c r="L69" s="19">
        <x:f>K69/D69</x:f>
        <x:v>1</x:v>
      </x:c>
      <x:c r="M69" s="25">
        <x:f>IF(L69&lt;=10,119,"")</x:f>
        <x:v>119</x:v>
      </x:c>
    </x:row>
    <x:row r="70" spans="1:13" customFormat="1" ht="18" customHeight="1">
      <x:c r="A70" s="9" t="s">
        <x:v>176</x:v>
      </x:c>
      <x:c r="B70" s="15" t="s">
        <x:v>253</x:v>
      </x:c>
      <x:c r="C70" s="14" t="s">
        <x:v>143</x:v>
      </x:c>
      <x:c r="D70" s="6">
        <x:v>2</x:v>
      </x:c>
      <x:c r="E70" s="14" t="s">
        <x:v>96</x:v>
      </x:c>
      <x:c r="F70" s="6"/>
      <x:c r="G70" s="6">
        <x:v>4</x:v>
      </x:c>
      <x:c r="H70" s="1">
        <x:f>I20*D70</x:f>
        <x:v>0</x:v>
      </x:c>
      <x:c r="I70" s="1"/>
      <x:c r="J70" s="1"/>
      <x:c r="K70" s="22">
        <x:f>G70+J70-H70-I70</x:f>
        <x:v>4</x:v>
      </x:c>
      <x:c r="L70" s="19">
        <x:f>K70/D70</x:f>
        <x:v>2</x:v>
      </x:c>
      <x:c r="M70" s="25">
        <x:f>IF(L70&lt;=10,119,"")</x:f>
        <x:v>119</x:v>
      </x:c>
    </x:row>
    <x:row r="71" spans="1:13" customFormat="1" ht="18" customHeight="1">
      <x:c r="A71" s="9" t="s">
        <x:v>176</x:v>
      </x:c>
      <x:c r="B71" s="15" t="s">
        <x:v>253</x:v>
      </x:c>
      <x:c r="C71" s="14" t="s">
        <x:v>137</x:v>
      </x:c>
      <x:c r="D71" s="1">
        <x:v>1</x:v>
      </x:c>
      <x:c r="E71" s="14" t="s">
        <x:v>83</x:v>
      </x:c>
      <x:c r="F71" s="1" t="s">
        <x:v>126</x:v>
      </x:c>
      <x:c r="G71" s="7">
        <x:f>'2026.9.4'!J46</x:f>
        <x:v>0</x:v>
      </x:c>
      <x:c r="H71" s="1">
        <x:f>K5*D71</x:f>
        <x:v>0</x:v>
      </x:c>
      <x:c r="I71" s="1"/>
      <x:c r="J71" s="1"/>
      <x:c r="K71" s="22">
        <x:f>G71+J71-H71-I71</x:f>
        <x:v>0</x:v>
      </x:c>
      <x:c r="L71" s="19">
        <x:f>K71/D71</x:f>
        <x:v>0</x:v>
      </x:c>
      <x:c r="M71" s="25">
        <x:f>IF(L71&lt;=10,119,"")</x:f>
        <x:v>119</x:v>
      </x:c>
    </x:row>
    <x:row r="72" spans="1:13" customFormat="1" ht="18" customHeight="1">
      <x:c r="A72" s="9" t="s">
        <x:v>176</x:v>
      </x:c>
      <x:c r="B72" s="15" t="s">
        <x:v>253</x:v>
      </x:c>
      <x:c r="C72" s="14" t="s">
        <x:v>137</x:v>
      </x:c>
      <x:c r="D72" s="1">
        <x:v>1</x:v>
      </x:c>
      <x:c r="E72" s="14" t="s">
        <x:v>41</x:v>
      </x:c>
      <x:c r="F72" s="7"/>
      <x:c r="G72" s="7">
        <x:f>'2026.9.4'!J47</x:f>
        <x:v>3</x:v>
      </x:c>
      <x:c r="H72" s="1">
        <x:f>K6*D72</x:f>
        <x:v>0</x:v>
      </x:c>
      <x:c r="I72" s="1"/>
      <x:c r="J72" s="1"/>
      <x:c r="K72" s="22">
        <x:f>G72+J72-H72-I72</x:f>
        <x:v>3</x:v>
      </x:c>
      <x:c r="L72" s="19">
        <x:f>K72/D72</x:f>
        <x:v>3</x:v>
      </x:c>
      <x:c r="M72" s="25">
        <x:f>IF(L72&lt;=10,119,"")</x:f>
        <x:v>119</x:v>
      </x:c>
    </x:row>
    <x:row r="73" spans="1:13" customFormat="1" ht="18" customHeight="1">
      <x:c r="A73" s="9" t="s">
        <x:v>176</x:v>
      </x:c>
      <x:c r="B73" s="15" t="s">
        <x:v>253</x:v>
      </x:c>
      <x:c r="C73" s="14" t="s">
        <x:v>137</x:v>
      </x:c>
      <x:c r="D73" s="1">
        <x:v>1</x:v>
      </x:c>
      <x:c r="E73" s="14" t="s">
        <x:v>47</x:v>
      </x:c>
      <x:c r="F73" s="7" t="s">
        <x:v>133</x:v>
      </x:c>
      <x:c r="G73" s="7">
        <x:f>'2026.9.4'!J48</x:f>
        <x:v>8</x:v>
      </x:c>
      <x:c r="H73" s="1">
        <x:f>K7*D73</x:f>
        <x:v>0</x:v>
      </x:c>
      <x:c r="I73" s="1"/>
      <x:c r="J73" s="1"/>
      <x:c r="K73" s="22">
        <x:f>G73+J73-H73-I73</x:f>
        <x:v>8</x:v>
      </x:c>
      <x:c r="L73" s="19">
        <x:f>K73/D73</x:f>
        <x:v>8</x:v>
      </x:c>
      <x:c r="M73" s="25">
        <x:f>IF(L73&lt;=10,119,"")</x:f>
        <x:v>119</x:v>
      </x:c>
    </x:row>
    <x:row r="74" spans="1:13" customFormat="1" ht="18" customHeight="1">
      <x:c r="A74" s="9" t="s">
        <x:v>176</x:v>
      </x:c>
      <x:c r="B74" s="15" t="s">
        <x:v>253</x:v>
      </x:c>
      <x:c r="C74" s="14" t="s">
        <x:v>137</x:v>
      </x:c>
      <x:c r="D74" s="1">
        <x:v>1</x:v>
      </x:c>
      <x:c r="E74" s="9" t="s">
        <x:v>73</x:v>
      </x:c>
      <x:c r="F74" s="7" t="s">
        <x:v>133</x:v>
      </x:c>
      <x:c r="G74" s="7">
        <x:f>'2026.9.4'!J49</x:f>
        <x:v>5</x:v>
      </x:c>
      <x:c r="H74" s="1">
        <x:f>K8*D74</x:f>
        <x:v>0</x:v>
      </x:c>
      <x:c r="I74" s="1"/>
      <x:c r="J74" s="1"/>
      <x:c r="K74" s="22">
        <x:f>G74+J74-H74-I74</x:f>
        <x:v>5</x:v>
      </x:c>
      <x:c r="L74" s="19">
        <x:f>K74/D74</x:f>
        <x:v>5</x:v>
      </x:c>
      <x:c r="M74" s="25">
        <x:f>IF(L74&lt;=10,119,"")</x:f>
        <x:v>119</x:v>
      </x:c>
    </x:row>
    <x:row r="75" spans="1:13" customFormat="1" ht="18" customHeight="1">
      <x:c r="A75" s="9" t="s">
        <x:v>176</x:v>
      </x:c>
      <x:c r="B75" s="15" t="s">
        <x:v>274</x:v>
      </x:c>
      <x:c r="C75" s="14" t="s">
        <x:v>143</x:v>
      </x:c>
      <x:c r="D75" s="6">
        <x:v>2</x:v>
      </x:c>
      <x:c r="E75" s="14" t="s">
        <x:v>250</x:v>
      </x:c>
      <x:c r="F75" s="1" t="s">
        <x:v>85</x:v>
      </x:c>
      <x:c r="G75" s="7">
        <x:f>'2026.9.4'!J50</x:f>
        <x:v>116</x:v>
      </x:c>
      <x:c r="H75" s="6">
        <x:f>SUM(I3:I12)*D75</x:f>
        <x:v>0</x:v>
      </x:c>
      <x:c r="I75" s="6"/>
      <x:c r="J75" s="6"/>
      <x:c r="K75" s="22">
        <x:f>G75+J75-H75-I75</x:f>
        <x:v>116</x:v>
      </x:c>
      <x:c r="L75" s="19">
        <x:f>K75/D75</x:f>
        <x:v>58</x:v>
      </x:c>
      <x:c r="M75" s="25" t="str">
        <x:f>IF(L75&lt;=10,119,"")</x:f>
        <x:v/>
      </x:c>
    </x:row>
    <x:row r="76" spans="1:13" customFormat="1" ht="18" customHeight="1">
      <x:c r="A76" s="9" t="s">
        <x:v>176</x:v>
      </x:c>
      <x:c r="B76" s="15" t="s">
        <x:v>274</x:v>
      </x:c>
      <x:c r="C76" s="14" t="s">
        <x:v>143</x:v>
      </x:c>
      <x:c r="D76" s="6">
        <x:v>2</x:v>
      </x:c>
      <x:c r="E76" s="14" t="s">
        <x:v>239</x:v>
      </x:c>
      <x:c r="F76" s="1" t="s">
        <x:v>45</x:v>
      </x:c>
      <x:c r="G76" s="7">
        <x:f>'2026.9.4'!J51</x:f>
        <x:v>62</x:v>
      </x:c>
      <x:c r="H76" s="1">
        <x:f>SUM(I13:I15)*D76</x:f>
        <x:v>0</x:v>
      </x:c>
      <x:c r="I76" s="1"/>
      <x:c r="J76" s="1"/>
      <x:c r="K76" s="22">
        <x:f>G76+J76-H76-I76</x:f>
        <x:v>62</x:v>
      </x:c>
      <x:c r="L76" s="19">
        <x:f>K76/D76</x:f>
        <x:v>31</x:v>
      </x:c>
      <x:c r="M76" s="25" t="str">
        <x:f>IF(L76&lt;=10,119,"")</x:f>
        <x:v/>
      </x:c>
    </x:row>
    <x:row r="77" spans="1:13" customFormat="1" ht="18" customHeight="1">
      <x:c r="A77" s="9" t="s">
        <x:v>176</x:v>
      </x:c>
      <x:c r="B77" s="15" t="s">
        <x:v>274</x:v>
      </x:c>
      <x:c r="C77" s="14" t="s">
        <x:v>143</x:v>
      </x:c>
      <x:c r="D77" s="6">
        <x:v>2</x:v>
      </x:c>
      <x:c r="E77" s="14" t="s">
        <x:v>70</x:v>
      </x:c>
      <x:c r="F77" s="7" t="s">
        <x:v>66</x:v>
      </x:c>
      <x:c r="G77" s="7">
        <x:f>'2026.9.4'!J52</x:f>
        <x:v>93</x:v>
      </x:c>
      <x:c r="H77" s="1">
        <x:f>I16*D77</x:f>
        <x:v>0</x:v>
      </x:c>
      <x:c r="I77" s="1"/>
      <x:c r="J77" s="1"/>
      <x:c r="K77" s="22">
        <x:f>G77+J77-H77-I77</x:f>
        <x:v>93</x:v>
      </x:c>
      <x:c r="L77" s="19">
        <x:f>K77/D77</x:f>
        <x:v>46.5</x:v>
      </x:c>
      <x:c r="M77" s="25" t="str">
        <x:f>IF(L77&lt;=10,119,"")</x:f>
        <x:v/>
      </x:c>
    </x:row>
    <x:row r="78" spans="1:13" customFormat="1" ht="18" customHeight="1">
      <x:c r="A78" s="9" t="s">
        <x:v>176</x:v>
      </x:c>
      <x:c r="B78" s="15" t="s">
        <x:v>274</x:v>
      </x:c>
      <x:c r="C78" s="14" t="s">
        <x:v>143</x:v>
      </x:c>
      <x:c r="D78" s="6">
        <x:v>1</x:v>
      </x:c>
      <x:c r="E78" s="14" t="s">
        <x:v>244</x:v>
      </x:c>
      <x:c r="F78" s="6"/>
      <x:c r="G78" s="6">
        <x:v>0</x:v>
      </x:c>
      <x:c r="H78" s="1">
        <x:f>I17*D78</x:f>
        <x:v>0</x:v>
      </x:c>
      <x:c r="I78" s="1"/>
      <x:c r="J78" s="1"/>
      <x:c r="K78" s="22">
        <x:f>G78+J78-H78-I78</x:f>
        <x:v>0</x:v>
      </x:c>
      <x:c r="L78" s="19">
        <x:f>K78/D78</x:f>
        <x:v>0</x:v>
      </x:c>
      <x:c r="M78" s="25">
        <x:f>IF(L78&lt;=10,119,"")</x:f>
        <x:v>119</x:v>
      </x:c>
    </x:row>
    <x:row r="79" spans="1:13" customFormat="1" ht="18" customHeight="1">
      <x:c r="A79" s="9" t="s">
        <x:v>176</x:v>
      </x:c>
      <x:c r="B79" s="15" t="s">
        <x:v>274</x:v>
      </x:c>
      <x:c r="C79" s="14" t="s">
        <x:v>143</x:v>
      </x:c>
      <x:c r="D79" s="6">
        <x:v>1</x:v>
      </x:c>
      <x:c r="E79" s="14" t="s">
        <x:v>247</x:v>
      </x:c>
      <x:c r="F79" s="6"/>
      <x:c r="G79" s="6">
        <x:v>0</x:v>
      </x:c>
      <x:c r="H79" s="1">
        <x:f>I18*D79</x:f>
        <x:v>0</x:v>
      </x:c>
      <x:c r="I79" s="1"/>
      <x:c r="J79" s="1"/>
      <x:c r="K79" s="22">
        <x:f>G79+J79-H79-I79</x:f>
        <x:v>0</x:v>
      </x:c>
      <x:c r="L79" s="19">
        <x:f>K79/D79</x:f>
        <x:v>0</x:v>
      </x:c>
      <x:c r="M79" s="25">
        <x:f>IF(L79&lt;=10,119,"")</x:f>
        <x:v>119</x:v>
      </x:c>
    </x:row>
    <x:row r="80" spans="1:13" customFormat="1" ht="18" customHeight="1">
      <x:c r="A80" s="9" t="s">
        <x:v>176</x:v>
      </x:c>
      <x:c r="B80" s="15" t="s">
        <x:v>274</x:v>
      </x:c>
      <x:c r="C80" s="14" t="s">
        <x:v>143</x:v>
      </x:c>
      <x:c r="D80" s="6">
        <x:v>2</x:v>
      </x:c>
      <x:c r="E80" s="14" t="s">
        <x:v>22</x:v>
      </x:c>
      <x:c r="F80" s="6"/>
      <x:c r="G80" s="6">
        <x:v>2</x:v>
      </x:c>
      <x:c r="H80" s="1">
        <x:f>I19*D80</x:f>
        <x:v>0</x:v>
      </x:c>
      <x:c r="I80" s="1"/>
      <x:c r="J80" s="1"/>
      <x:c r="K80" s="22">
        <x:f>G80+J80-H80-I80</x:f>
        <x:v>2</x:v>
      </x:c>
      <x:c r="L80" s="19">
        <x:f>K80/D80</x:f>
        <x:v>1</x:v>
      </x:c>
      <x:c r="M80" s="25">
        <x:f>IF(L80&lt;=10,119,"")</x:f>
        <x:v>119</x:v>
      </x:c>
    </x:row>
    <x:row r="81" spans="1:13" customFormat="1" ht="18" customHeight="1">
      <x:c r="A81" s="9" t="s">
        <x:v>176</x:v>
      </x:c>
      <x:c r="B81" s="15" t="s">
        <x:v>274</x:v>
      </x:c>
      <x:c r="C81" s="14" t="s">
        <x:v>143</x:v>
      </x:c>
      <x:c r="D81" s="6">
        <x:v>2</x:v>
      </x:c>
      <x:c r="E81" s="14" t="s">
        <x:v>96</x:v>
      </x:c>
      <x:c r="F81" s="6"/>
      <x:c r="G81" s="6">
        <x:v>4</x:v>
      </x:c>
      <x:c r="H81" s="1">
        <x:f>I20*D81</x:f>
        <x:v>0</x:v>
      </x:c>
      <x:c r="I81" s="1"/>
      <x:c r="J81" s="1"/>
      <x:c r="K81" s="22">
        <x:f>G81+J81-H81-I81</x:f>
        <x:v>4</x:v>
      </x:c>
      <x:c r="L81" s="19">
        <x:f>K81/D81</x:f>
        <x:v>2</x:v>
      </x:c>
      <x:c r="M81" s="25">
        <x:f>IF(L81&lt;=10,119,"")</x:f>
        <x:v>119</x:v>
      </x:c>
    </x:row>
    <x:row r="82" spans="1:13" customFormat="1" ht="18" customHeight="1">
      <x:c r="A82" s="9" t="s">
        <x:v>176</x:v>
      </x:c>
      <x:c r="B82" s="15" t="s">
        <x:v>274</x:v>
      </x:c>
      <x:c r="C82" s="14" t="s">
        <x:v>137</x:v>
      </x:c>
      <x:c r="D82" s="1">
        <x:v>1</x:v>
      </x:c>
      <x:c r="E82" s="14" t="s">
        <x:v>83</x:v>
      </x:c>
      <x:c r="F82" s="1"/>
      <x:c r="G82" s="7">
        <x:f>'2026.9.4'!J53</x:f>
        <x:v>1</x:v>
      </x:c>
      <x:c r="H82" s="1">
        <x:f>K5*D82</x:f>
        <x:v>0</x:v>
      </x:c>
      <x:c r="I82" s="1"/>
      <x:c r="J82" s="1"/>
      <x:c r="K82" s="22">
        <x:f>G82+J82-H82-I82</x:f>
        <x:v>1</x:v>
      </x:c>
      <x:c r="L82" s="19">
        <x:f>K82/D82</x:f>
        <x:v>1</x:v>
      </x:c>
      <x:c r="M82" s="25">
        <x:f>IF(L82&lt;=10,119,"")</x:f>
        <x:v>119</x:v>
      </x:c>
    </x:row>
    <x:row r="83" spans="1:13" customFormat="1" ht="18" customHeight="1">
      <x:c r="A83" s="9" t="s">
        <x:v>176</x:v>
      </x:c>
      <x:c r="B83" s="15" t="s">
        <x:v>274</x:v>
      </x:c>
      <x:c r="C83" s="14" t="s">
        <x:v>137</x:v>
      </x:c>
      <x:c r="D83" s="1">
        <x:v>1</x:v>
      </x:c>
      <x:c r="E83" s="14" t="s">
        <x:v>41</x:v>
      </x:c>
      <x:c r="F83" s="7"/>
      <x:c r="G83" s="7">
        <x:f>'2026.9.4'!J54</x:f>
        <x:v>0</x:v>
      </x:c>
      <x:c r="H83" s="1">
        <x:f>K6*D83</x:f>
        <x:v>0</x:v>
      </x:c>
      <x:c r="I83" s="1"/>
      <x:c r="J83" s="1"/>
      <x:c r="K83" s="22">
        <x:f>G83+J83-H83-I83</x:f>
        <x:v>0</x:v>
      </x:c>
      <x:c r="L83" s="19">
        <x:f>K83/D83</x:f>
        <x:v>0</x:v>
      </x:c>
      <x:c r="M83" s="25">
        <x:f>IF(L83&lt;=10,119,"")</x:f>
        <x:v>119</x:v>
      </x:c>
    </x:row>
    <x:row r="84" spans="1:13" customFormat="1" ht="18" customHeight="1">
      <x:c r="A84" s="9" t="s">
        <x:v>176</x:v>
      </x:c>
      <x:c r="B84" s="15" t="s">
        <x:v>274</x:v>
      </x:c>
      <x:c r="C84" s="14" t="s">
        <x:v>137</x:v>
      </x:c>
      <x:c r="D84" s="1">
        <x:v>1</x:v>
      </x:c>
      <x:c r="E84" s="14" t="s">
        <x:v>47</x:v>
      </x:c>
      <x:c r="F84" s="7"/>
      <x:c r="G84" s="7">
        <x:f>'2026.9.4'!J55</x:f>
        <x:v>9</x:v>
      </x:c>
      <x:c r="H84" s="1">
        <x:f>K7*D84</x:f>
        <x:v>0</x:v>
      </x:c>
      <x:c r="I84" s="1"/>
      <x:c r="J84" s="1"/>
      <x:c r="K84" s="22">
        <x:f>G84+J84-H84-I84</x:f>
        <x:v>9</x:v>
      </x:c>
      <x:c r="L84" s="19">
        <x:f>K84/D84</x:f>
        <x:v>9</x:v>
      </x:c>
      <x:c r="M84" s="25">
        <x:f>IF(L84&lt;=10,119,"")</x:f>
        <x:v>119</x:v>
      </x:c>
    </x:row>
    <x:row r="85" spans="1:13" customFormat="1" ht="18" customHeight="1">
      <x:c r="A85" s="9" t="s">
        <x:v>176</x:v>
      </x:c>
      <x:c r="B85" s="15" t="s">
        <x:v>274</x:v>
      </x:c>
      <x:c r="C85" s="14" t="s">
        <x:v>137</x:v>
      </x:c>
      <x:c r="D85" s="1">
        <x:v>1</x:v>
      </x:c>
      <x:c r="E85" s="9" t="s">
        <x:v>73</x:v>
      </x:c>
      <x:c r="F85" s="7" t="s">
        <x:v>92</x:v>
      </x:c>
      <x:c r="G85" s="7">
        <x:f>'2026.9.4'!J56</x:f>
        <x:v>5</x:v>
      </x:c>
      <x:c r="H85" s="1">
        <x:f>K8*D85</x:f>
        <x:v>0</x:v>
      </x:c>
      <x:c r="I85" s="1"/>
      <x:c r="J85" s="1"/>
      <x:c r="K85" s="22">
        <x:f>G85+J85-H85-I85</x:f>
        <x:v>5</x:v>
      </x:c>
      <x:c r="L85" s="19">
        <x:f>K85/D85</x:f>
        <x:v>5</x:v>
      </x:c>
      <x:c r="M85" s="25">
        <x:f>IF(L85&lt;=10,119,"")</x:f>
        <x:v>119</x:v>
      </x:c>
    </x:row>
    <x:row r="86" spans="1:13" customFormat="1" ht="18" customHeight="1">
      <x:c r="A86" s="9" t="s">
        <x:v>176</x:v>
      </x:c>
      <x:c r="B86" s="15" t="s">
        <x:v>53</x:v>
      </x:c>
      <x:c r="C86" s="14" t="s">
        <x:v>143</x:v>
      </x:c>
      <x:c r="D86" s="6">
        <x:v>8</x:v>
      </x:c>
      <x:c r="E86" s="14" t="s">
        <x:v>250</x:v>
      </x:c>
      <x:c r="F86" s="1" t="s">
        <x:v>175</x:v>
      </x:c>
      <x:c r="G86" s="7">
        <x:f>'2026.9.4'!J57</x:f>
        <x:v>318</x:v>
      </x:c>
      <x:c r="H86" s="6">
        <x:f>SUM(I3:I12)*D86</x:f>
        <x:v>0</x:v>
      </x:c>
      <x:c r="I86" s="6"/>
      <x:c r="J86" s="6"/>
      <x:c r="K86" s="22">
        <x:f>G86+J86-H86-I86</x:f>
        <x:v>318</x:v>
      </x:c>
      <x:c r="L86" s="19">
        <x:f>K86/D86</x:f>
        <x:v>39.75</x:v>
      </x:c>
      <x:c r="M86" s="25" t="str">
        <x:f>IF(L86&lt;=10,119,"")</x:f>
        <x:v/>
      </x:c>
    </x:row>
    <x:row r="87" spans="1:13" customFormat="1" ht="18" customHeight="1">
      <x:c r="A87" s="9" t="s">
        <x:v>176</x:v>
      </x:c>
      <x:c r="B87" s="15" t="s">
        <x:v>53</x:v>
      </x:c>
      <x:c r="C87" s="14" t="s">
        <x:v>143</x:v>
      </x:c>
      <x:c r="D87" s="6">
        <x:v>8</x:v>
      </x:c>
      <x:c r="E87" s="14" t="s">
        <x:v>239</x:v>
      </x:c>
      <x:c r="F87" s="1" t="s">
        <x:v>159</x:v>
      </x:c>
      <x:c r="G87" s="7">
        <x:f>'2026.9.4'!J58</x:f>
        <x:v>299</x:v>
      </x:c>
      <x:c r="H87" s="1">
        <x:f>SUM(I13:I15)*D87</x:f>
        <x:v>0</x:v>
      </x:c>
      <x:c r="I87" s="1"/>
      <x:c r="J87" s="1"/>
      <x:c r="K87" s="22">
        <x:f>G87+J87-H87-I87</x:f>
        <x:v>299</x:v>
      </x:c>
      <x:c r="L87" s="19">
        <x:f>K87/D87</x:f>
        <x:v>37.375</x:v>
      </x:c>
      <x:c r="M87" s="25" t="str">
        <x:f>IF(L87&lt;=10,119,"")</x:f>
        <x:v/>
      </x:c>
    </x:row>
    <x:row r="88" spans="1:13" customFormat="1" ht="18" customHeight="1">
      <x:c r="A88" s="9" t="s">
        <x:v>176</x:v>
      </x:c>
      <x:c r="B88" s="15" t="s">
        <x:v>53</x:v>
      </x:c>
      <x:c r="C88" s="14" t="s">
        <x:v>143</x:v>
      </x:c>
      <x:c r="D88" s="6">
        <x:v>8</x:v>
      </x:c>
      <x:c r="E88" s="14" t="s">
        <x:v>70</x:v>
      </x:c>
      <x:c r="F88" s="7" t="s">
        <x:v>192</x:v>
      </x:c>
      <x:c r="G88" s="7">
        <x:f>'2026.9.4'!J59</x:f>
        <x:v>686</x:v>
      </x:c>
      <x:c r="H88" s="1">
        <x:f>I16*D88</x:f>
        <x:v>0</x:v>
      </x:c>
      <x:c r="I88" s="1"/>
      <x:c r="J88" s="1"/>
      <x:c r="K88" s="22">
        <x:f>G88+J88-H88-I88</x:f>
        <x:v>686</x:v>
      </x:c>
      <x:c r="L88" s="19">
        <x:f>K88/D88</x:f>
        <x:v>85.75</x:v>
      </x:c>
      <x:c r="M88" s="25" t="str">
        <x:f>IF(L88&lt;=10,119,"")</x:f>
        <x:v/>
      </x:c>
    </x:row>
    <x:row r="89" spans="1:13" customFormat="1" ht="18" customHeight="1">
      <x:c r="A89" s="9" t="s">
        <x:v>176</x:v>
      </x:c>
      <x:c r="B89" s="15" t="s">
        <x:v>53</x:v>
      </x:c>
      <x:c r="C89" s="14" t="s">
        <x:v>143</x:v>
      </x:c>
      <x:c r="D89" s="6">
        <x:v>4</x:v>
      </x:c>
      <x:c r="E89" s="14" t="s">
        <x:v>276</x:v>
      </x:c>
      <x:c r="F89" s="6"/>
      <x:c r="G89" s="6">
        <x:v>2</x:v>
      </x:c>
      <x:c r="H89" s="1">
        <x:f>SUM(I17:I18)*D89</x:f>
        <x:v>0</x:v>
      </x:c>
      <x:c r="I89" s="1"/>
      <x:c r="J89" s="1"/>
      <x:c r="K89" s="22">
        <x:f>G89+J89-H89-I89</x:f>
        <x:v>2</x:v>
      </x:c>
      <x:c r="L89" s="19">
        <x:f>K89/D89</x:f>
        <x:v>0.5</x:v>
      </x:c>
      <x:c r="M89" s="25">
        <x:f>IF(L89&lt;=10,119,"")</x:f>
        <x:v>119</x:v>
      </x:c>
    </x:row>
    <x:row r="90" spans="1:13" customFormat="1" ht="18" customHeight="1">
      <x:c r="A90" s="9" t="s">
        <x:v>176</x:v>
      </x:c>
      <x:c r="B90" s="15" t="s">
        <x:v>53</x:v>
      </x:c>
      <x:c r="C90" s="14" t="s">
        <x:v>143</x:v>
      </x:c>
      <x:c r="D90" s="6">
        <x:v>8</x:v>
      </x:c>
      <x:c r="E90" s="14" t="s">
        <x:v>11</x:v>
      </x:c>
      <x:c r="F90" s="6"/>
      <x:c r="G90" s="6">
        <x:v>31</x:v>
      </x:c>
      <x:c r="H90" s="1">
        <x:f>SUM(I19:I20)*D90</x:f>
        <x:v>0</x:v>
      </x:c>
      <x:c r="I90" s="1"/>
      <x:c r="J90" s="1"/>
      <x:c r="K90" s="22">
        <x:f>G90+J90-H90-I90</x:f>
        <x:v>31</x:v>
      </x:c>
      <x:c r="L90" s="19">
        <x:f>K90/D90</x:f>
        <x:v>3.875</x:v>
      </x:c>
      <x:c r="M90" s="25">
        <x:f>IF(L90&lt;=10,119,"")</x:f>
        <x:v>119</x:v>
      </x:c>
    </x:row>
    <x:row r="91" spans="1:13" customFormat="1" ht="18" customHeight="1">
      <x:c r="A91" s="9" t="s">
        <x:v>176</x:v>
      </x:c>
      <x:c r="B91" s="15" t="s">
        <x:v>53</x:v>
      </x:c>
      <x:c r="C91" s="14" t="s">
        <x:v>140</x:v>
      </x:c>
      <x:c r="D91" s="1">
        <x:v>4</x:v>
      </x:c>
      <x:c r="E91" s="14" t="s">
        <x:v>83</x:v>
      </x:c>
      <x:c r="F91" s="1" t="s">
        <x:v>49</x:v>
      </x:c>
      <x:c r="G91" s="7">
        <x:f>'2026.9.4'!J60</x:f>
        <x:v>138</x:v>
      </x:c>
      <x:c r="H91" s="1">
        <x:f>K5*D91</x:f>
        <x:v>0</x:v>
      </x:c>
      <x:c r="I91" s="1"/>
      <x:c r="J91" s="1"/>
      <x:c r="K91" s="22">
        <x:f>G91+J91-H91-I91</x:f>
        <x:v>138</x:v>
      </x:c>
      <x:c r="L91" s="19">
        <x:f>K91/D91</x:f>
        <x:v>34.5</x:v>
      </x:c>
      <x:c r="M91" s="25" t="str">
        <x:f>IF(L91&lt;=10,119,"")</x:f>
        <x:v/>
      </x:c>
    </x:row>
    <x:row r="92" spans="1:13" customFormat="1" ht="18" customHeight="1">
      <x:c r="A92" s="9" t="s">
        <x:v>176</x:v>
      </x:c>
      <x:c r="B92" s="15" t="s">
        <x:v>53</x:v>
      </x:c>
      <x:c r="C92" s="14" t="s">
        <x:v>140</x:v>
      </x:c>
      <x:c r="D92" s="1">
        <x:v>4</x:v>
      </x:c>
      <x:c r="E92" s="14" t="s">
        <x:v>8</x:v>
      </x:c>
      <x:c r="F92" s="7" t="s">
        <x:v>71</x:v>
      </x:c>
      <x:c r="G92" s="7">
        <x:f>'2026.9.4'!J61</x:f>
        <x:v>155</x:v>
      </x:c>
      <x:c r="H92" s="1">
        <x:f>SUM(K6:K7)*D92</x:f>
        <x:v>0</x:v>
      </x:c>
      <x:c r="I92" s="1"/>
      <x:c r="J92" s="1"/>
      <x:c r="K92" s="22">
        <x:f>G92+J92-H92-I92</x:f>
        <x:v>155</x:v>
      </x:c>
      <x:c r="L92" s="19">
        <x:f>K92/D92</x:f>
        <x:v>38.75</x:v>
      </x:c>
      <x:c r="M92" s="25" t="str">
        <x:f>IF(L92&lt;=10,119,"")</x:f>
        <x:v/>
      </x:c>
    </x:row>
    <x:row r="93" spans="1:13" customFormat="1" ht="18" customHeight="1">
      <x:c r="A93" s="9" t="s">
        <x:v>176</x:v>
      </x:c>
      <x:c r="B93" s="15" t="s">
        <x:v>53</x:v>
      </x:c>
      <x:c r="C93" s="14" t="s">
        <x:v>140</x:v>
      </x:c>
      <x:c r="D93" s="1">
        <x:v>4</x:v>
      </x:c>
      <x:c r="E93" s="9" t="s">
        <x:v>73</x:v>
      </x:c>
      <x:c r="F93" s="7" t="s">
        <x:v>79</x:v>
      </x:c>
      <x:c r="G93" s="7">
        <x:f>'2026.9.4'!J62</x:f>
        <x:v>157</x:v>
      </x:c>
      <x:c r="H93" s="1">
        <x:f>K8*D93</x:f>
        <x:v>0</x:v>
      </x:c>
      <x:c r="I93" s="1"/>
      <x:c r="J93" s="1"/>
      <x:c r="K93" s="22">
        <x:f>G93+J93-H93-I93</x:f>
        <x:v>157</x:v>
      </x:c>
      <x:c r="L93" s="19">
        <x:f>K93/D93</x:f>
        <x:v>39.25</x:v>
      </x:c>
      <x:c r="M93" s="25" t="str">
        <x:f>IF(L93&lt;=10,119,"")</x:f>
        <x:v/>
      </x:c>
    </x:row>
    <x:row r="94" spans="1:13" customFormat="1" ht="18" customHeight="1">
      <x:c r="A94" s="9" t="s">
        <x:v>176</x:v>
      </x:c>
      <x:c r="B94" s="15" t="s">
        <x:v>260</x:v>
      </x:c>
      <x:c r="C94" s="14" t="s">
        <x:v>160</x:v>
      </x:c>
      <x:c r="D94" s="1">
        <x:v>2</x:v>
      </x:c>
      <x:c r="E94" s="9" t="s">
        <x:v>250</x:v>
      </x:c>
      <x:c r="F94" s="7" t="s">
        <x:v>125</x:v>
      </x:c>
      <x:c r="G94" s="7">
        <x:f>'2026.9.4'!J63</x:f>
        <x:v>122</x:v>
      </x:c>
      <x:c r="H94" s="1">
        <x:f>SUM(I3:I12)*D94</x:f>
        <x:v>0</x:v>
      </x:c>
      <x:c r="I94" s="1"/>
      <x:c r="J94" s="1"/>
      <x:c r="K94" s="22">
        <x:f>G94+J94-H94-I94</x:f>
        <x:v>122</x:v>
      </x:c>
      <x:c r="L94" s="19">
        <x:f>K94/D94</x:f>
        <x:v>61</x:v>
      </x:c>
      <x:c r="M94" s="25" t="str">
        <x:f>IF(L94&lt;=10,119,"")</x:f>
        <x:v/>
      </x:c>
    </x:row>
    <x:row r="95" spans="1:13" customFormat="1" ht="18" customHeight="1">
      <x:c r="A95" s="9" t="s">
        <x:v>176</x:v>
      </x:c>
      <x:c r="B95" s="15" t="s">
        <x:v>260</x:v>
      </x:c>
      <x:c r="C95" s="14" t="s">
        <x:v>160</x:v>
      </x:c>
      <x:c r="D95" s="6">
        <x:v>2</x:v>
      </x:c>
      <x:c r="E95" s="14" t="s">
        <x:v>239</x:v>
      </x:c>
      <x:c r="F95" s="1" t="s">
        <x:v>132</x:v>
      </x:c>
      <x:c r="G95" s="7">
        <x:f>'2026.9.4'!J64</x:f>
        <x:v>37</x:v>
      </x:c>
      <x:c r="H95" s="1">
        <x:f>SUM(I13:I15)*D95</x:f>
        <x:v>0</x:v>
      </x:c>
      <x:c r="I95" s="1"/>
      <x:c r="J95" s="1"/>
      <x:c r="K95" s="22">
        <x:f>G95+J95-H95-I95</x:f>
        <x:v>37</x:v>
      </x:c>
      <x:c r="L95" s="19">
        <x:f>K95/D95</x:f>
        <x:v>18.5</x:v>
      </x:c>
      <x:c r="M95" s="25" t="str">
        <x:f>IF(L95&lt;=10,119,"")</x:f>
        <x:v/>
      </x:c>
    </x:row>
    <x:row r="96" spans="1:13" customFormat="1" ht="18" customHeight="1">
      <x:c r="A96" s="9" t="s">
        <x:v>176</x:v>
      </x:c>
      <x:c r="B96" s="15" t="s">
        <x:v>260</x:v>
      </x:c>
      <x:c r="C96" s="14" t="s">
        <x:v>160</x:v>
      </x:c>
      <x:c r="D96" s="6">
        <x:v>2</x:v>
      </x:c>
      <x:c r="E96" s="14" t="s">
        <x:v>70</x:v>
      </x:c>
      <x:c r="F96" s="7" t="s">
        <x:v>129</x:v>
      </x:c>
      <x:c r="G96" s="7">
        <x:f>'2026.9.4'!J65</x:f>
        <x:v>94</x:v>
      </x:c>
      <x:c r="H96" s="1">
        <x:f>I16*D96</x:f>
        <x:v>0</x:v>
      </x:c>
      <x:c r="I96" s="1"/>
      <x:c r="J96" s="1"/>
      <x:c r="K96" s="22">
        <x:f>G96+J96-H96-I96</x:f>
        <x:v>94</x:v>
      </x:c>
      <x:c r="L96" s="19">
        <x:f>K96/D96</x:f>
        <x:v>47</x:v>
      </x:c>
      <x:c r="M96" s="25" t="str">
        <x:f>IF(L96&lt;=10,119,"")</x:f>
        <x:v/>
      </x:c>
    </x:row>
    <x:row r="97" spans="1:13" customFormat="1" ht="18" customHeight="1">
      <x:c r="A97" s="9" t="s">
        <x:v>176</x:v>
      </x:c>
      <x:c r="B97" s="15" t="s">
        <x:v>260</x:v>
      </x:c>
      <x:c r="C97" s="14" t="s">
        <x:v>160</x:v>
      </x:c>
      <x:c r="D97" s="6">
        <x:v>2</x:v>
      </x:c>
      <x:c r="E97" s="14" t="s">
        <x:v>22</x:v>
      </x:c>
      <x:c r="F97" s="6"/>
      <x:c r="G97" s="6">
        <x:v>2</x:v>
      </x:c>
      <x:c r="H97" s="1">
        <x:f>I19*D97</x:f>
        <x:v>0</x:v>
      </x:c>
      <x:c r="I97" s="1"/>
      <x:c r="J97" s="1"/>
      <x:c r="K97" s="22">
        <x:f>G97+J97-H97-I97</x:f>
        <x:v>2</x:v>
      </x:c>
      <x:c r="L97" s="19">
        <x:f>K97/D97</x:f>
        <x:v>1</x:v>
      </x:c>
      <x:c r="M97" s="25">
        <x:f>IF(L97&lt;=10,119,"")</x:f>
        <x:v>119</x:v>
      </x:c>
    </x:row>
    <x:row r="98" spans="1:13" customFormat="1" ht="18" customHeight="1">
      <x:c r="A98" s="9" t="s">
        <x:v>176</x:v>
      </x:c>
      <x:c r="B98" s="15" t="s">
        <x:v>260</x:v>
      </x:c>
      <x:c r="C98" s="14" t="s">
        <x:v>160</x:v>
      </x:c>
      <x:c r="D98" s="6">
        <x:v>2</x:v>
      </x:c>
      <x:c r="E98" s="14" t="s">
        <x:v>96</x:v>
      </x:c>
      <x:c r="F98" s="6"/>
      <x:c r="G98" s="6">
        <x:v>4</x:v>
      </x:c>
      <x:c r="H98" s="1">
        <x:f>I20*D98</x:f>
        <x:v>0</x:v>
      </x:c>
      <x:c r="I98" s="1"/>
      <x:c r="J98" s="1"/>
      <x:c r="K98" s="22">
        <x:f>G98+J98-H98-I98</x:f>
        <x:v>4</x:v>
      </x:c>
      <x:c r="L98" s="19">
        <x:f>K98/D98</x:f>
        <x:v>2</x:v>
      </x:c>
      <x:c r="M98" s="25">
        <x:f>IF(L98&lt;=10,119,"")</x:f>
        <x:v>119</x:v>
      </x:c>
    </x:row>
    <x:row r="99" spans="1:13" customFormat="1" ht="18" customHeight="1">
      <x:c r="A99" s="9" t="s">
        <x:v>176</x:v>
      </x:c>
      <x:c r="B99" s="15" t="s">
        <x:v>256</x:v>
      </x:c>
      <x:c r="C99" s="14" t="s">
        <x:v>161</x:v>
      </x:c>
      <x:c r="D99" s="6">
        <x:v>2</x:v>
      </x:c>
      <x:c r="E99" s="14" t="s">
        <x:v>250</x:v>
      </x:c>
      <x:c r="F99" s="1" t="s">
        <x:v>152</x:v>
      </x:c>
      <x:c r="G99" s="7">
        <x:f>'2026.9.4'!J66</x:f>
        <x:v>72</x:v>
      </x:c>
      <x:c r="H99" s="6">
        <x:f>SUM(I3:I12)*D99</x:f>
        <x:v>0</x:v>
      </x:c>
      <x:c r="I99" s="6"/>
      <x:c r="J99" s="6"/>
      <x:c r="K99" s="22">
        <x:f>G99+J99-H99-I99</x:f>
        <x:v>72</x:v>
      </x:c>
      <x:c r="L99" s="19">
        <x:f>K99/D99</x:f>
        <x:v>36</x:v>
      </x:c>
      <x:c r="M99" s="25" t="str">
        <x:f>IF(L99&lt;=10,119,"")</x:f>
        <x:v/>
      </x:c>
    </x:row>
    <x:row r="100" spans="1:13" customFormat="1" ht="18" customHeight="1">
      <x:c r="A100" s="9" t="s">
        <x:v>176</x:v>
      </x:c>
      <x:c r="B100" s="15" t="s">
        <x:v>256</x:v>
      </x:c>
      <x:c r="C100" s="14" t="s">
        <x:v>161</x:v>
      </x:c>
      <x:c r="D100" s="6">
        <x:v>2</x:v>
      </x:c>
      <x:c r="E100" s="14" t="s">
        <x:v>239</x:v>
      </x:c>
      <x:c r="F100" s="1" t="s">
        <x:v>141</x:v>
      </x:c>
      <x:c r="G100" s="7">
        <x:f>'2026.9.4'!J67</x:f>
        <x:v>41</x:v>
      </x:c>
      <x:c r="H100" s="1">
        <x:f>SUM(I13:I15)*D100</x:f>
        <x:v>0</x:v>
      </x:c>
      <x:c r="I100" s="1"/>
      <x:c r="J100" s="1"/>
      <x:c r="K100" s="22">
        <x:f>G100+J100-H100-I100</x:f>
        <x:v>41</x:v>
      </x:c>
      <x:c r="L100" s="19">
        <x:f>K100/D100</x:f>
        <x:v>20.5</x:v>
      </x:c>
      <x:c r="M100" s="25" t="str">
        <x:f>IF(L100&lt;=10,119,"")</x:f>
        <x:v/>
      </x:c>
    </x:row>
    <x:row r="101" spans="1:13" customFormat="1" ht="18" customHeight="1">
      <x:c r="A101" s="9" t="s">
        <x:v>176</x:v>
      </x:c>
      <x:c r="B101" s="15" t="s">
        <x:v>256</x:v>
      </x:c>
      <x:c r="C101" s="14" t="s">
        <x:v>161</x:v>
      </x:c>
      <x:c r="D101" s="6">
        <x:v>2</x:v>
      </x:c>
      <x:c r="E101" s="14" t="s">
        <x:v>70</x:v>
      </x:c>
      <x:c r="F101" s="7" t="s">
        <x:v>138</x:v>
      </x:c>
      <x:c r="G101" s="7">
        <x:f>'2026.9.4'!J68</x:f>
        <x:v>32</x:v>
      </x:c>
      <x:c r="H101" s="1">
        <x:f>I16*D101</x:f>
        <x:v>0</x:v>
      </x:c>
      <x:c r="I101" s="1"/>
      <x:c r="J101" s="1"/>
      <x:c r="K101" s="22">
        <x:f>G101+J101-H101-I101</x:f>
        <x:v>32</x:v>
      </x:c>
      <x:c r="L101" s="19">
        <x:f>K101/D101</x:f>
        <x:v>16</x:v>
      </x:c>
      <x:c r="M101" s="25" t="str">
        <x:f>IF(L101&lt;=10,119,"")</x:f>
        <x:v/>
      </x:c>
    </x:row>
    <x:row r="102" spans="1:13" customFormat="1" ht="18" customHeight="1">
      <x:c r="A102" s="9" t="s">
        <x:v>176</x:v>
      </x:c>
      <x:c r="B102" s="15" t="s">
        <x:v>256</x:v>
      </x:c>
      <x:c r="C102" s="14" t="s">
        <x:v>161</x:v>
      </x:c>
      <x:c r="D102" s="6">
        <x:v>2</x:v>
      </x:c>
      <x:c r="E102" s="14" t="s">
        <x:v>22</x:v>
      </x:c>
      <x:c r="F102" s="6" t="s">
        <x:v>179</x:v>
      </x:c>
      <x:c r="G102" s="6">
        <x:v>2</x:v>
      </x:c>
      <x:c r="H102" s="1">
        <x:f>I19*D102</x:f>
        <x:v>0</x:v>
      </x:c>
      <x:c r="I102" s="1"/>
      <x:c r="J102" s="1"/>
      <x:c r="K102" s="22">
        <x:f>G102+J102-H102-I102</x:f>
        <x:v>2</x:v>
      </x:c>
      <x:c r="L102" s="19">
        <x:f>K102/D102</x:f>
        <x:v>1</x:v>
      </x:c>
      <x:c r="M102" s="25">
        <x:f>IF(L102&lt;=10,119,"")</x:f>
        <x:v>119</x:v>
      </x:c>
    </x:row>
    <x:row r="103" spans="1:13" customFormat="1" ht="18" customHeight="1">
      <x:c r="A103" s="9" t="s">
        <x:v>176</x:v>
      </x:c>
      <x:c r="B103" s="15" t="s">
        <x:v>256</x:v>
      </x:c>
      <x:c r="C103" s="14" t="s">
        <x:v>161</x:v>
      </x:c>
      <x:c r="D103" s="6">
        <x:v>2</x:v>
      </x:c>
      <x:c r="E103" s="14" t="s">
        <x:v>96</x:v>
      </x:c>
      <x:c r="F103" s="6" t="s">
        <x:v>202</x:v>
      </x:c>
      <x:c r="G103" s="6">
        <x:v>4</x:v>
      </x:c>
      <x:c r="H103" s="1">
        <x:f>I20*D103</x:f>
        <x:v>0</x:v>
      </x:c>
      <x:c r="I103" s="1"/>
      <x:c r="J103" s="1"/>
      <x:c r="K103" s="22">
        <x:f>G103+J103-H103-I103</x:f>
        <x:v>4</x:v>
      </x:c>
      <x:c r="L103" s="19">
        <x:f>K103/D103</x:f>
        <x:v>2</x:v>
      </x:c>
      <x:c r="M103" s="25">
        <x:f>IF(L103&lt;=10,119,"")</x:f>
        <x:v>119</x:v>
      </x:c>
    </x:row>
    <x:row r="104" spans="1:13" customFormat="1" ht="18" customHeight="1">
      <x:c r="A104" s="9" t="s">
        <x:v>176</x:v>
      </x:c>
      <x:c r="B104" s="15" t="s">
        <x:v>240</x:v>
      </x:c>
      <x:c r="C104" s="14" t="s">
        <x:v>181</x:v>
      </x:c>
      <x:c r="D104" s="6">
        <x:v>2</x:v>
      </x:c>
      <x:c r="E104" s="14" t="s">
        <x:v>250</x:v>
      </x:c>
      <x:c r="F104" s="1"/>
      <x:c r="G104" s="6">
        <x:v>68</x:v>
      </x:c>
      <x:c r="H104" s="1">
        <x:f>SUM(I3:I12)*D104</x:f>
        <x:v>0</x:v>
      </x:c>
      <x:c r="I104" s="1"/>
      <x:c r="J104" s="1"/>
      <x:c r="K104" s="22">
        <x:f>G104+J104-H104-I104</x:f>
        <x:v>68</x:v>
      </x:c>
      <x:c r="L104" s="19">
        <x:f>K104/D104</x:f>
        <x:v>34</x:v>
      </x:c>
      <x:c r="M104" s="25" t="str">
        <x:f>IF(L104&lt;=10,119,"")</x:f>
        <x:v/>
      </x:c>
    </x:row>
    <x:row r="105" spans="1:13" customFormat="1" ht="18" customHeight="1">
      <x:c r="A105" s="9" t="s">
        <x:v>176</x:v>
      </x:c>
      <x:c r="B105" s="15" t="s">
        <x:v>240</x:v>
      </x:c>
      <x:c r="C105" s="14" t="s">
        <x:v>181</x:v>
      </x:c>
      <x:c r="D105" s="6">
        <x:v>2</x:v>
      </x:c>
      <x:c r="E105" s="14" t="s">
        <x:v>239</x:v>
      </x:c>
      <x:c r="F105" s="1"/>
      <x:c r="G105" s="6">
        <x:v>10</x:v>
      </x:c>
      <x:c r="H105" s="1">
        <x:f>SUM(I13:I15)*D105</x:f>
        <x:v>0</x:v>
      </x:c>
      <x:c r="I105" s="1"/>
      <x:c r="J105" s="1"/>
      <x:c r="K105" s="22">
        <x:f>G105+J105-H105-I105</x:f>
        <x:v>10</x:v>
      </x:c>
      <x:c r="L105" s="19">
        <x:f>K105/D105</x:f>
        <x:v>5</x:v>
      </x:c>
      <x:c r="M105" s="25">
        <x:f>IF(L105&lt;=10,119,"")</x:f>
        <x:v>119</x:v>
      </x:c>
    </x:row>
    <x:row r="106" spans="1:13" customFormat="1" ht="18" customHeight="1">
      <x:c r="A106" s="9" t="s">
        <x:v>176</x:v>
      </x:c>
      <x:c r="B106" s="15" t="s">
        <x:v>240</x:v>
      </x:c>
      <x:c r="C106" s="14" t="s">
        <x:v>181</x:v>
      </x:c>
      <x:c r="D106" s="6">
        <x:v>2</x:v>
      </x:c>
      <x:c r="E106" s="14" t="s">
        <x:v>70</x:v>
      </x:c>
      <x:c r="F106" s="1"/>
      <x:c r="G106" s="6">
        <x:v>30</x:v>
      </x:c>
      <x:c r="H106" s="1">
        <x:f>SUM(I16)*D106</x:f>
        <x:v>0</x:v>
      </x:c>
      <x:c r="I106" s="1"/>
      <x:c r="J106" s="1"/>
      <x:c r="K106" s="22">
        <x:f>G106+J106-H106-I106</x:f>
        <x:v>30</x:v>
      </x:c>
      <x:c r="L106" s="19">
        <x:f>K106/D106</x:f>
        <x:v>15</x:v>
      </x:c>
      <x:c r="M106" s="25" t="str">
        <x:f>IF(L106&lt;=10,119,"")</x:f>
        <x:v/>
      </x:c>
    </x:row>
    <x:row r="107" spans="1:13" customFormat="1" ht="18" customHeight="1">
      <x:c r="A107" s="9" t="s">
        <x:v>176</x:v>
      </x:c>
      <x:c r="B107" s="15" t="s">
        <x:v>240</x:v>
      </x:c>
      <x:c r="C107" s="14" t="s">
        <x:v>181</x:v>
      </x:c>
      <x:c r="D107" s="6">
        <x:v>2</x:v>
      </x:c>
      <x:c r="E107" s="14" t="s">
        <x:v>22</x:v>
      </x:c>
      <x:c r="F107" s="1"/>
      <x:c r="G107" s="6">
        <x:v>2</x:v>
      </x:c>
      <x:c r="H107" s="1">
        <x:f>I19*D107</x:f>
        <x:v>0</x:v>
      </x:c>
      <x:c r="I107" s="1"/>
      <x:c r="J107" s="1"/>
      <x:c r="K107" s="22">
        <x:f>G107+J107-H107-I107</x:f>
        <x:v>2</x:v>
      </x:c>
      <x:c r="L107" s="19">
        <x:f>K107/D107</x:f>
        <x:v>1</x:v>
      </x:c>
      <x:c r="M107" s="25">
        <x:f>IF(L107&lt;=10,119,"")</x:f>
        <x:v>119</x:v>
      </x:c>
    </x:row>
    <x:row r="108" spans="1:13" customFormat="1" ht="18" customHeight="1">
      <x:c r="A108" s="9" t="s">
        <x:v>176</x:v>
      </x:c>
      <x:c r="B108" s="15" t="s">
        <x:v>240</x:v>
      </x:c>
      <x:c r="C108" s="14" t="s">
        <x:v>181</x:v>
      </x:c>
      <x:c r="D108" s="6">
        <x:v>2</x:v>
      </x:c>
      <x:c r="E108" s="14" t="s">
        <x:v>96</x:v>
      </x:c>
      <x:c r="F108" s="1"/>
      <x:c r="G108" s="6">
        <x:v>5</x:v>
      </x:c>
      <x:c r="H108" s="1">
        <x:f>I20*D108</x:f>
        <x:v>0</x:v>
      </x:c>
      <x:c r="I108" s="1"/>
      <x:c r="J108" s="1"/>
      <x:c r="K108" s="22">
        <x:f>G108+J108-H108-I108</x:f>
        <x:v>5</x:v>
      </x:c>
      <x:c r="L108" s="19">
        <x:f>K108/D108</x:f>
        <x:v>2.5</x:v>
      </x:c>
      <x:c r="M108" s="25">
        <x:f>IF(L108&lt;=10,119,"")</x:f>
        <x:v>119</x:v>
      </x:c>
    </x:row>
    <x:row r="109" spans="1:13" customFormat="1" ht="18" customHeight="1">
      <x:c r="A109" s="9" t="s">
        <x:v>176</x:v>
      </x:c>
      <x:c r="B109" s="15" t="s">
        <x:v>10</x:v>
      </x:c>
      <x:c r="C109" s="14" t="s">
        <x:v>181</x:v>
      </x:c>
      <x:c r="D109" s="6">
        <x:v>1</x:v>
      </x:c>
      <x:c r="E109" s="14" t="s">
        <x:v>241</x:v>
      </x:c>
      <x:c r="F109" s="1"/>
      <x:c r="G109" s="6">
        <x:v>44</x:v>
      </x:c>
      <x:c r="H109" s="1">
        <x:f>SUM(I3:I15)*D109</x:f>
        <x:v>0</x:v>
      </x:c>
      <x:c r="I109" s="1"/>
      <x:c r="J109" s="1"/>
      <x:c r="K109" s="22">
        <x:f>G109+J109-H109-I109</x:f>
        <x:v>44</x:v>
      </x:c>
      <x:c r="L109" s="19">
        <x:f>K109/D109</x:f>
        <x:v>44</x:v>
      </x:c>
      <x:c r="M109" s="25" t="str">
        <x:f>IF(L109&lt;=10,119,"")</x:f>
        <x:v/>
      </x:c>
    </x:row>
    <x:row r="110" spans="1:13" customFormat="1" ht="18" customHeight="1">
      <x:c r="A110" s="9" t="s">
        <x:v>176</x:v>
      </x:c>
      <x:c r="B110" s="15" t="s">
        <x:v>10</x:v>
      </x:c>
      <x:c r="C110" s="14" t="s">
        <x:v>181</x:v>
      </x:c>
      <x:c r="D110" s="6">
        <x:v>1</x:v>
      </x:c>
      <x:c r="E110" s="14" t="s">
        <x:v>70</x:v>
      </x:c>
      <x:c r="F110" s="1"/>
      <x:c r="G110" s="6">
        <x:v>17</x:v>
      </x:c>
      <x:c r="H110" s="1">
        <x:f>SUM(H16)*D110</x:f>
        <x:v>0</x:v>
      </x:c>
      <x:c r="I110" s="1"/>
      <x:c r="J110" s="1"/>
      <x:c r="K110" s="22">
        <x:f>G110+J110-H110-I110</x:f>
        <x:v>17</x:v>
      </x:c>
      <x:c r="L110" s="19">
        <x:f>K110/D110</x:f>
        <x:v>17</x:v>
      </x:c>
      <x:c r="M110" s="25" t="str">
        <x:f>IF(L110&lt;=10,119,"")</x:f>
        <x:v/>
      </x:c>
    </x:row>
    <x:row r="111" spans="1:13" customFormat="1" ht="18" customHeight="1">
      <x:c r="A111" s="9" t="s">
        <x:v>176</x:v>
      </x:c>
      <x:c r="B111" s="15" t="s">
        <x:v>10</x:v>
      </x:c>
      <x:c r="C111" s="14" t="s">
        <x:v>181</x:v>
      </x:c>
      <x:c r="D111" s="6">
        <x:v>1</x:v>
      </x:c>
      <x:c r="E111" s="14" t="s">
        <x:v>244</x:v>
      </x:c>
      <x:c r="F111" s="1"/>
      <x:c r="G111" s="6">
        <x:v>0</x:v>
      </x:c>
      <x:c r="H111" s="1">
        <x:f>I17</x:f>
        <x:v>0</x:v>
      </x:c>
      <x:c r="I111" s="1"/>
      <x:c r="J111" s="1"/>
      <x:c r="K111" s="22">
        <x:f>G111+J111-H111-I111</x:f>
        <x:v>0</x:v>
      </x:c>
      <x:c r="L111" s="19">
        <x:f>K111/D111</x:f>
        <x:v>0</x:v>
      </x:c>
      <x:c r="M111" s="25">
        <x:f>IF(L111&lt;=10,119,"")</x:f>
        <x:v>119</x:v>
      </x:c>
    </x:row>
    <x:row r="112" spans="1:13" customFormat="1" ht="18" customHeight="1">
      <x:c r="A112" s="9" t="s">
        <x:v>176</x:v>
      </x:c>
      <x:c r="B112" s="15" t="s">
        <x:v>10</x:v>
      </x:c>
      <x:c r="C112" s="14" t="s">
        <x:v>181</x:v>
      </x:c>
      <x:c r="D112" s="6">
        <x:v>1</x:v>
      </x:c>
      <x:c r="E112" s="14" t="s">
        <x:v>247</x:v>
      </x:c>
      <x:c r="F112" s="1"/>
      <x:c r="G112" s="6">
        <x:v>0</x:v>
      </x:c>
      <x:c r="H112" s="1">
        <x:f>I18</x:f>
        <x:v>0</x:v>
      </x:c>
      <x:c r="I112" s="1"/>
      <x:c r="J112" s="1"/>
      <x:c r="K112" s="22">
        <x:f>G112+J112-H112-I112</x:f>
        <x:v>0</x:v>
      </x:c>
      <x:c r="L112" s="19">
        <x:f>K112/D112</x:f>
        <x:v>0</x:v>
      </x:c>
      <x:c r="M112" s="25">
        <x:f>IF(L112&lt;=10,119,"")</x:f>
        <x:v>119</x:v>
      </x:c>
    </x:row>
    <x:row r="113" spans="1:13" customFormat="1" ht="18" customHeight="1">
      <x:c r="A113" s="9" t="s">
        <x:v>176</x:v>
      </x:c>
      <x:c r="B113" s="15" t="s">
        <x:v>10</x:v>
      </x:c>
      <x:c r="C113" s="14" t="s">
        <x:v>181</x:v>
      </x:c>
      <x:c r="D113" s="6">
        <x:v>1</x:v>
      </x:c>
      <x:c r="E113" s="14" t="s">
        <x:v>11</x:v>
      </x:c>
      <x:c r="F113" s="1"/>
      <x:c r="G113" s="6">
        <x:v>3</x:v>
      </x:c>
      <x:c r="H113" s="1">
        <x:f>SUM(I19:I20)*D113</x:f>
        <x:v>0</x:v>
      </x:c>
      <x:c r="I113" s="1"/>
      <x:c r="J113" s="1"/>
      <x:c r="K113" s="22">
        <x:f>G113+J113-H113-I113</x:f>
        <x:v>3</x:v>
      </x:c>
      <x:c r="L113" s="19">
        <x:f>K113/D113</x:f>
        <x:v>3</x:v>
      </x:c>
      <x:c r="M113" s="25">
        <x:f>IF(L113&lt;=10,119,"")</x:f>
        <x:v>119</x:v>
      </x:c>
    </x:row>
    <x:row r="114" spans="1:13" customFormat="1" ht="18" customHeight="1">
      <x:c r="A114" s="9" t="s">
        <x:v>176</x:v>
      </x:c>
      <x:c r="B114" s="15" t="s">
        <x:v>34</x:v>
      </x:c>
      <x:c r="C114" s="14" t="s">
        <x:v>181</x:v>
      </x:c>
      <x:c r="D114" s="6">
        <x:v>1</x:v>
      </x:c>
      <x:c r="E114" s="14" t="s">
        <x:v>241</x:v>
      </x:c>
      <x:c r="F114" s="1" t="s">
        <x:v>207</x:v>
      </x:c>
      <x:c r="G114" s="6">
        <x:v>46</x:v>
      </x:c>
      <x:c r="H114" s="1">
        <x:f>SUM(I3:I14)*D114</x:f>
        <x:v>0</x:v>
      </x:c>
      <x:c r="I114" s="1"/>
      <x:c r="J114" s="1"/>
      <x:c r="K114" s="22">
        <x:f>G114+J114-H114-I114</x:f>
        <x:v>46</x:v>
      </x:c>
      <x:c r="L114" s="19">
        <x:f>K114/D114</x:f>
        <x:v>46</x:v>
      </x:c>
      <x:c r="M114" s="25" t="str">
        <x:f>IF(L114&lt;=10,119,"")</x:f>
        <x:v/>
      </x:c>
    </x:row>
    <x:row r="115" spans="1:13" customFormat="1" ht="18" customHeight="1">
      <x:c r="A115" s="9" t="s">
        <x:v>176</x:v>
      </x:c>
      <x:c r="B115" s="15" t="s">
        <x:v>34</x:v>
      </x:c>
      <x:c r="C115" s="14" t="s">
        <x:v>181</x:v>
      </x:c>
      <x:c r="D115" s="6">
        <x:v>1</x:v>
      </x:c>
      <x:c r="E115" s="14" t="s">
        <x:v>70</x:v>
      </x:c>
      <x:c r="F115" s="1" t="s">
        <x:v>190</x:v>
      </x:c>
      <x:c r="G115" s="6">
        <x:v>78</x:v>
      </x:c>
      <x:c r="H115" s="1">
        <x:f>SUM(I16)*D115</x:f>
        <x:v>0</x:v>
      </x:c>
      <x:c r="I115" s="1"/>
      <x:c r="J115" s="1"/>
      <x:c r="K115" s="22">
        <x:f>G115+J115-H115-I115</x:f>
        <x:v>78</x:v>
      </x:c>
      <x:c r="L115" s="19">
        <x:f>K115/D115</x:f>
        <x:v>78</x:v>
      </x:c>
      <x:c r="M115" s="25" t="str">
        <x:f>IF(L115&lt;=10,119,"")</x:f>
        <x:v/>
      </x:c>
    </x:row>
    <x:row r="116" spans="1:13" customFormat="1" ht="18" customHeight="1">
      <x:c r="A116" s="9" t="s">
        <x:v>176</x:v>
      </x:c>
      <x:c r="B116" s="15" t="s">
        <x:v>34</x:v>
      </x:c>
      <x:c r="C116" s="14" t="s">
        <x:v>181</x:v>
      </x:c>
      <x:c r="D116" s="6">
        <x:v>1</x:v>
      </x:c>
      <x:c r="E116" s="14" t="s">
        <x:v>276</x:v>
      </x:c>
      <x:c r="F116" s="1"/>
      <x:c r="G116" s="6">
        <x:v>0</x:v>
      </x:c>
      <x:c r="H116" s="1">
        <x:f>SUM(I17:I18)*D116</x:f>
        <x:v>0</x:v>
      </x:c>
      <x:c r="I116" s="1"/>
      <x:c r="J116" s="1"/>
      <x:c r="K116" s="22">
        <x:f>G116+J116-H116-I116</x:f>
        <x:v>0</x:v>
      </x:c>
      <x:c r="L116" s="19">
        <x:f>K116/D116</x:f>
        <x:v>0</x:v>
      </x:c>
      <x:c r="M116" s="25">
        <x:f>IF(L116&lt;=10,119,"")</x:f>
        <x:v>119</x:v>
      </x:c>
    </x:row>
    <x:row r="117" spans="1:13" customFormat="1" ht="18" customHeight="1">
      <x:c r="A117" s="9" t="s">
        <x:v>176</x:v>
      </x:c>
      <x:c r="B117" s="15" t="s">
        <x:v>34</x:v>
      </x:c>
      <x:c r="C117" s="14" t="s">
        <x:v>181</x:v>
      </x:c>
      <x:c r="D117" s="6">
        <x:v>1</x:v>
      </x:c>
      <x:c r="E117" s="14" t="s">
        <x:v>11</x:v>
      </x:c>
      <x:c r="F117" s="1"/>
      <x:c r="G117" s="6">
        <x:v>3</x:v>
      </x:c>
      <x:c r="H117" s="1">
        <x:f>SUM(I19:I20)*D117</x:f>
        <x:v>0</x:v>
      </x:c>
      <x:c r="I117" s="1"/>
      <x:c r="J117" s="1"/>
      <x:c r="K117" s="22">
        <x:f>G117+J117-H117-I117</x:f>
        <x:v>3</x:v>
      </x:c>
      <x:c r="L117" s="19">
        <x:f>K117/D117</x:f>
        <x:v>3</x:v>
      </x:c>
      <x:c r="M117" s="25">
        <x:f>IF(L117&lt;=10,119,"")</x:f>
        <x:v>119</x:v>
      </x:c>
    </x:row>
    <x:row r="118" spans="1:13" customFormat="1" ht="18" customHeight="1">
      <x:c r="A118" s="9" t="s">
        <x:v>176</x:v>
      </x:c>
      <x:c r="B118" s="15" t="s">
        <x:v>29</x:v>
      </x:c>
      <x:c r="C118" s="14" t="s">
        <x:v>137</x:v>
      </x:c>
      <x:c r="D118" s="1">
        <x:v>1</x:v>
      </x:c>
      <x:c r="E118" s="14" t="s">
        <x:v>244</x:v>
      </x:c>
      <x:c r="F118" s="1"/>
      <x:c r="G118" s="6">
        <x:v>0</x:v>
      </x:c>
      <x:c r="H118" s="1">
        <x:f>I17*D118</x:f>
        <x:v>0</x:v>
      </x:c>
      <x:c r="I118" s="1"/>
      <x:c r="J118" s="1"/>
      <x:c r="K118" s="22">
        <x:f>G118+J118-H118-I118</x:f>
        <x:v>0</x:v>
      </x:c>
      <x:c r="L118" s="19">
        <x:f>K118/D118</x:f>
        <x:v>0</x:v>
      </x:c>
      <x:c r="M118" s="25">
        <x:f>IF(L118&lt;=10,119,"")</x:f>
        <x:v>119</x:v>
      </x:c>
    </x:row>
    <x:row r="119" spans="1:13" customFormat="1" ht="18" customHeight="1">
      <x:c r="A119" s="9" t="s">
        <x:v>176</x:v>
      </x:c>
      <x:c r="B119" s="15" t="s">
        <x:v>29</x:v>
      </x:c>
      <x:c r="C119" s="14" t="s">
        <x:v>137</x:v>
      </x:c>
      <x:c r="D119" s="1">
        <x:v>1</x:v>
      </x:c>
      <x:c r="E119" s="14" t="s">
        <x:v>247</x:v>
      </x:c>
      <x:c r="F119" s="1"/>
      <x:c r="G119" s="6">
        <x:v>0</x:v>
      </x:c>
      <x:c r="H119" s="1">
        <x:f>I18*D119</x:f>
        <x:v>0</x:v>
      </x:c>
      <x:c r="I119" s="1"/>
      <x:c r="J119" s="1"/>
      <x:c r="K119" s="22">
        <x:f>G119+J119-H119-I119</x:f>
        <x:v>0</x:v>
      </x:c>
      <x:c r="L119" s="19">
        <x:f>K119/D119</x:f>
        <x:v>0</x:v>
      </x:c>
      <x:c r="M119" s="25">
        <x:f>IF(L119&lt;=10,119,"")</x:f>
        <x:v>119</x:v>
      </x:c>
    </x:row>
    <x:row r="120" spans="1:13" ht="18" customHeight="1">
      <x:c r="A120" s="9" t="s">
        <x:v>176</x:v>
      </x:c>
      <x:c r="B120" s="15" t="s">
        <x:v>29</x:v>
      </x:c>
      <x:c r="C120" s="14" t="s">
        <x:v>137</x:v>
      </x:c>
      <x:c r="D120" s="1">
        <x:v>1</x:v>
      </x:c>
      <x:c r="E120" s="9" t="s">
        <x:v>83</x:v>
      </x:c>
      <x:c r="F120" s="1" t="s">
        <x:v>126</x:v>
      </x:c>
      <x:c r="G120" s="7">
        <x:f>'2026.9.4'!J69</x:f>
        <x:v>0</x:v>
      </x:c>
      <x:c r="H120" s="1">
        <x:f>K5*D120</x:f>
        <x:v>0</x:v>
      </x:c>
      <x:c r="K120" s="22">
        <x:f>G120+J120-H120-I120</x:f>
        <x:v>0</x:v>
      </x:c>
      <x:c r="L120" s="19">
        <x:f>K120/D120</x:f>
        <x:v>0</x:v>
      </x:c>
      <x:c r="M120" s="25">
        <x:f>IF(L120&lt;=10,119,"")</x:f>
        <x:v>119</x:v>
      </x:c>
    </x:row>
    <x:row r="121" spans="1:13" ht="18" customHeight="1">
      <x:c r="A121" s="9" t="s">
        <x:v>176</x:v>
      </x:c>
      <x:c r="B121" s="15" t="s">
        <x:v>29</x:v>
      </x:c>
      <x:c r="C121" s="14" t="s">
        <x:v>137</x:v>
      </x:c>
      <x:c r="D121" s="1">
        <x:v>1</x:v>
      </x:c>
      <x:c r="E121" s="9" t="s">
        <x:v>41</x:v>
      </x:c>
      <x:c r="G121" s="7">
        <x:f>'2026.9.4'!J70</x:f>
        <x:v>3</x:v>
      </x:c>
      <x:c r="H121" s="1">
        <x:f>K6*D121</x:f>
        <x:v>0</x:v>
      </x:c>
      <x:c r="K121" s="22">
        <x:f>G121+J121-H121-I121</x:f>
        <x:v>3</x:v>
      </x:c>
      <x:c r="L121" s="19">
        <x:f>K121/D121</x:f>
        <x:v>3</x:v>
      </x:c>
      <x:c r="M121" s="25">
        <x:f>IF(L121&lt;=10,119,"")</x:f>
        <x:v>119</x:v>
      </x:c>
    </x:row>
    <x:row r="122" spans="1:13" ht="18" customHeight="1">
      <x:c r="A122" s="9" t="s">
        <x:v>176</x:v>
      </x:c>
      <x:c r="B122" s="15" t="s">
        <x:v>29</x:v>
      </x:c>
      <x:c r="C122" s="14" t="s">
        <x:v>137</x:v>
      </x:c>
      <x:c r="D122" s="1">
        <x:v>1</x:v>
      </x:c>
      <x:c r="E122" s="9" t="s">
        <x:v>47</x:v>
      </x:c>
      <x:c r="F122" s="1" t="s">
        <x:v>136</x:v>
      </x:c>
      <x:c r="G122" s="7">
        <x:f>'2026.9.4'!J71</x:f>
        <x:v>10</x:v>
      </x:c>
      <x:c r="H122" s="1">
        <x:f>K7*D122</x:f>
        <x:v>0</x:v>
      </x:c>
      <x:c r="K122" s="22">
        <x:f>G122+J122-H122-I122</x:f>
        <x:v>10</x:v>
      </x:c>
      <x:c r="L122" s="19">
        <x:f>K122/D122</x:f>
        <x:v>10</x:v>
      </x:c>
      <x:c r="M122" s="25">
        <x:f>IF(L122&lt;=10,119,"")</x:f>
        <x:v>119</x:v>
      </x:c>
    </x:row>
    <x:row r="123" spans="1:13" ht="18" customHeight="1">
      <x:c r="A123" s="9" t="s">
        <x:v>176</x:v>
      </x:c>
      <x:c r="B123" s="15" t="s">
        <x:v>29</x:v>
      </x:c>
      <x:c r="C123" s="14" t="s">
        <x:v>137</x:v>
      </x:c>
      <x:c r="D123" s="1">
        <x:v>1</x:v>
      </x:c>
      <x:c r="E123" s="9" t="s">
        <x:v>73</x:v>
      </x:c>
      <x:c r="F123" s="1" t="s">
        <x:v>136</x:v>
      </x:c>
      <x:c r="G123" s="7">
        <x:f>'2026.9.4'!J72</x:f>
        <x:v>4</x:v>
      </x:c>
      <x:c r="H123" s="1">
        <x:f>K8*D123</x:f>
        <x:v>0</x:v>
      </x:c>
      <x:c r="K123" s="22">
        <x:f>G123+J123-H123-I123</x:f>
        <x:v>4</x:v>
      </x:c>
      <x:c r="L123" s="19">
        <x:f>K123/D123</x:f>
        <x:v>4</x:v>
      </x:c>
      <x:c r="M123" s="25">
        <x:f>IF(L123&lt;=10,119,"")</x:f>
        <x:v>119</x:v>
      </x:c>
    </x:row>
    <x:row r="124" spans="1:13" customFormat="1" ht="18" customHeight="1">
      <x:c r="A124" s="9" t="s">
        <x:v>176</x:v>
      </x:c>
      <x:c r="B124" s="15" t="s">
        <x:v>81</x:v>
      </x:c>
      <x:c r="C124" s="14" t="s">
        <x:v>172</x:v>
      </x:c>
      <x:c r="D124" s="1">
        <x:v>1</x:v>
      </x:c>
      <x:c r="E124" s="14" t="s">
        <x:v>244</x:v>
      </x:c>
      <x:c r="F124" s="1"/>
      <x:c r="G124" s="6">
        <x:v>0</x:v>
      </x:c>
      <x:c r="H124" s="1">
        <x:f>I17*D124</x:f>
        <x:v>0</x:v>
      </x:c>
      <x:c r="I124" s="1"/>
      <x:c r="J124" s="1"/>
      <x:c r="K124" s="22">
        <x:f>G124+J124-H124-I124</x:f>
        <x:v>0</x:v>
      </x:c>
      <x:c r="L124" s="19">
        <x:f>K124/D124</x:f>
        <x:v>0</x:v>
      </x:c>
      <x:c r="M124" s="25">
        <x:f>IF(L124&lt;=10,119,"")</x:f>
        <x:v>119</x:v>
      </x:c>
    </x:row>
    <x:row r="125" spans="1:13" customFormat="1" ht="18" customHeight="1">
      <x:c r="A125" s="9" t="s">
        <x:v>176</x:v>
      </x:c>
      <x:c r="B125" s="15" t="s">
        <x:v>81</x:v>
      </x:c>
      <x:c r="C125" s="14" t="s">
        <x:v>172</x:v>
      </x:c>
      <x:c r="D125" s="1">
        <x:v>1</x:v>
      </x:c>
      <x:c r="E125" s="14" t="s">
        <x:v>247</x:v>
      </x:c>
      <x:c r="F125" s="1"/>
      <x:c r="G125" s="6">
        <x:v>0</x:v>
      </x:c>
      <x:c r="H125" s="1">
        <x:f>I18*D125</x:f>
        <x:v>0</x:v>
      </x:c>
      <x:c r="I125" s="1"/>
      <x:c r="J125" s="1"/>
      <x:c r="K125" s="22">
        <x:f>G125+J125-H125-I125</x:f>
        <x:v>0</x:v>
      </x:c>
      <x:c r="L125" s="19">
        <x:f>K125/D125</x:f>
        <x:v>0</x:v>
      </x:c>
      <x:c r="M125" s="25">
        <x:f>IF(L125&lt;=10,119,"")</x:f>
        <x:v>119</x:v>
      </x:c>
    </x:row>
    <x:row r="126" spans="1:13" ht="18" customHeight="1">
      <x:c r="A126" s="9" t="s">
        <x:v>176</x:v>
      </x:c>
      <x:c r="B126" s="15" t="s">
        <x:v>81</x:v>
      </x:c>
      <x:c r="C126" s="14" t="s">
        <x:v>172</x:v>
      </x:c>
      <x:c r="D126" s="1">
        <x:v>1</x:v>
      </x:c>
      <x:c r="E126" s="9" t="s">
        <x:v>83</x:v>
      </x:c>
      <x:c r="G126" s="7">
        <x:f>'2026.9.4'!J73</x:f>
        <x:v>0</x:v>
      </x:c>
      <x:c r="H126" s="1">
        <x:f>K5*D126</x:f>
        <x:v>0</x:v>
      </x:c>
      <x:c r="K126" s="22">
        <x:f>G126+J126-H126-I126</x:f>
        <x:v>0</x:v>
      </x:c>
      <x:c r="L126" s="19">
        <x:f>K126/D126</x:f>
        <x:v>0</x:v>
      </x:c>
      <x:c r="M126" s="25">
        <x:f>IF(L126&lt;=10,119,"")</x:f>
        <x:v>119</x:v>
      </x:c>
    </x:row>
    <x:row r="127" spans="1:13" ht="18" customHeight="1">
      <x:c r="A127" s="9" t="s">
        <x:v>176</x:v>
      </x:c>
      <x:c r="B127" s="15" t="s">
        <x:v>81</x:v>
      </x:c>
      <x:c r="C127" s="14" t="s">
        <x:v>172</x:v>
      </x:c>
      <x:c r="D127" s="1">
        <x:v>1</x:v>
      </x:c>
      <x:c r="E127" s="9" t="s">
        <x:v>41</x:v>
      </x:c>
      <x:c r="G127" s="7">
        <x:f>'2026.9.4'!J74</x:f>
        <x:v>0</x:v>
      </x:c>
      <x:c r="H127" s="1">
        <x:f>K6*D127</x:f>
        <x:v>0</x:v>
      </x:c>
      <x:c r="K127" s="22">
        <x:f>G127+J127-H127-I127</x:f>
        <x:v>0</x:v>
      </x:c>
      <x:c r="L127" s="19">
        <x:f>K127/D127</x:f>
        <x:v>0</x:v>
      </x:c>
      <x:c r="M127" s="25">
        <x:f>IF(L127&lt;=10,119,"")</x:f>
        <x:v>119</x:v>
      </x:c>
    </x:row>
    <x:row r="128" spans="1:13" ht="18" customHeight="1">
      <x:c r="A128" s="9" t="s">
        <x:v>176</x:v>
      </x:c>
      <x:c r="B128" s="15" t="s">
        <x:v>81</x:v>
      </x:c>
      <x:c r="C128" s="14" t="s">
        <x:v>172</x:v>
      </x:c>
      <x:c r="D128" s="1">
        <x:v>1</x:v>
      </x:c>
      <x:c r="E128" s="9" t="s">
        <x:v>47</x:v>
      </x:c>
      <x:c r="G128" s="7">
        <x:f>'2026.9.4'!J75</x:f>
        <x:v>9</x:v>
      </x:c>
      <x:c r="H128" s="1">
        <x:f>K7*D128</x:f>
        <x:v>0</x:v>
      </x:c>
      <x:c r="K128" s="22">
        <x:f>G128+J128-H128-I128</x:f>
        <x:v>9</x:v>
      </x:c>
      <x:c r="L128" s="19">
        <x:f>K128/D128</x:f>
        <x:v>9</x:v>
      </x:c>
      <x:c r="M128" s="25">
        <x:f>IF(L128&lt;=10,119,"")</x:f>
        <x:v>119</x:v>
      </x:c>
    </x:row>
    <x:row r="129" spans="1:13" ht="18" customHeight="1">
      <x:c r="A129" s="9" t="s">
        <x:v>176</x:v>
      </x:c>
      <x:c r="B129" s="15" t="s">
        <x:v>81</x:v>
      </x:c>
      <x:c r="C129" s="14" t="s">
        <x:v>172</x:v>
      </x:c>
      <x:c r="D129" s="1">
        <x:v>1</x:v>
      </x:c>
      <x:c r="E129" s="9" t="s">
        <x:v>73</x:v>
      </x:c>
      <x:c r="G129" s="7">
        <x:f>'2026.9.4'!J76</x:f>
        <x:v>6</x:v>
      </x:c>
      <x:c r="H129" s="1">
        <x:f>K8*D129</x:f>
        <x:v>0</x:v>
      </x:c>
      <x:c r="K129" s="22">
        <x:f>G129+J129-H129-I129</x:f>
        <x:v>6</x:v>
      </x:c>
      <x:c r="L129" s="19">
        <x:f>K129/D129</x:f>
        <x:v>6</x:v>
      </x:c>
      <x:c r="M129" s="25">
        <x:f>IF(L129&lt;=10,119,"")</x:f>
        <x:v>119</x:v>
      </x:c>
    </x:row>
    <x:row r="130" spans="1:13" ht="18" customHeight="1">
      <x:c r="A130" s="9" t="s">
        <x:v>176</x:v>
      </x:c>
      <x:c r="B130" s="15" t="s">
        <x:v>13</x:v>
      </x:c>
      <x:c r="C130" s="14" t="s">
        <x:v>137</x:v>
      </x:c>
      <x:c r="D130" s="1">
        <x:v>1</x:v>
      </x:c>
      <x:c r="E130" s="9" t="s">
        <x:v>83</x:v>
      </x:c>
      <x:c r="G130" s="7">
        <x:f>'2026.9.4'!J77</x:f>
        <x:v>1</x:v>
      </x:c>
      <x:c r="H130" s="1">
        <x:f>K5*D130</x:f>
        <x:v>0</x:v>
      </x:c>
      <x:c r="K130" s="22">
        <x:f>G130+J130-H130-I130</x:f>
        <x:v>1</x:v>
      </x:c>
      <x:c r="L130" s="19">
        <x:f>K130/D130</x:f>
        <x:v>1</x:v>
      </x:c>
      <x:c r="M130" s="25">
        <x:f>IF(L130&lt;=10,119,"")</x:f>
        <x:v>119</x:v>
      </x:c>
    </x:row>
    <x:row r="131" spans="1:13" ht="18" customHeight="1">
      <x:c r="A131" s="9" t="s">
        <x:v>176</x:v>
      </x:c>
      <x:c r="B131" s="15" t="s">
        <x:v>13</x:v>
      </x:c>
      <x:c r="C131" s="14" t="s">
        <x:v>137</x:v>
      </x:c>
      <x:c r="D131" s="1">
        <x:v>1</x:v>
      </x:c>
      <x:c r="E131" s="9" t="s">
        <x:v>41</x:v>
      </x:c>
      <x:c r="G131" s="7">
        <x:f>'2026.9.4'!J78</x:f>
        <x:v>1</x:v>
      </x:c>
      <x:c r="H131" s="1">
        <x:f>K6*D131</x:f>
        <x:v>0</x:v>
      </x:c>
      <x:c r="K131" s="22">
        <x:f>G131+J131-H131-I131</x:f>
        <x:v>1</x:v>
      </x:c>
      <x:c r="L131" s="19">
        <x:f>K131/D131</x:f>
        <x:v>1</x:v>
      </x:c>
      <x:c r="M131" s="25">
        <x:f>IF(L131&lt;=10,119,"")</x:f>
        <x:v>119</x:v>
      </x:c>
    </x:row>
    <x:row r="132" spans="1:13" ht="18" customHeight="1">
      <x:c r="A132" s="9" t="s">
        <x:v>176</x:v>
      </x:c>
      <x:c r="B132" s="15" t="s">
        <x:v>13</x:v>
      </x:c>
      <x:c r="C132" s="14" t="s">
        <x:v>137</x:v>
      </x:c>
      <x:c r="D132" s="1">
        <x:v>1</x:v>
      </x:c>
      <x:c r="E132" s="9" t="s">
        <x:v>47</x:v>
      </x:c>
      <x:c r="G132" s="7">
        <x:f>'2026.9.4'!J79</x:f>
        <x:v>8</x:v>
      </x:c>
      <x:c r="H132" s="1">
        <x:f>K7*D132</x:f>
        <x:v>0</x:v>
      </x:c>
      <x:c r="K132" s="22">
        <x:f>G132+J132-H132-I132</x:f>
        <x:v>8</x:v>
      </x:c>
      <x:c r="L132" s="19">
        <x:f>K132/D132</x:f>
        <x:v>8</x:v>
      </x:c>
      <x:c r="M132" s="25">
        <x:f>IF(L132&lt;=10,119,"")</x:f>
        <x:v>119</x:v>
      </x:c>
    </x:row>
    <x:row r="133" spans="1:13" customFormat="1" ht="18" customHeight="1">
      <x:c r="A133" s="9" t="s">
        <x:v>176</x:v>
      </x:c>
      <x:c r="B133" s="15" t="s">
        <x:v>144</x:v>
      </x:c>
      <x:c r="C133" s="14" t="s">
        <x:v>62</x:v>
      </x:c>
      <x:c r="D133" s="1">
        <x:v>1</x:v>
      </x:c>
      <x:c r="E133" s="14" t="s">
        <x:v>244</x:v>
      </x:c>
      <x:c r="F133" s="1"/>
      <x:c r="G133" s="6">
        <x:v>0</x:v>
      </x:c>
      <x:c r="H133" s="1">
        <x:f>I17*D133</x:f>
        <x:v>0</x:v>
      </x:c>
      <x:c r="I133" s="1"/>
      <x:c r="J133" s="1"/>
      <x:c r="K133" s="22">
        <x:f>G133+J133-H133-I133</x:f>
        <x:v>0</x:v>
      </x:c>
      <x:c r="L133" s="19">
        <x:f>K133/D133</x:f>
        <x:v>0</x:v>
      </x:c>
      <x:c r="M133" s="25">
        <x:f>IF(L133&lt;=10,119,"")</x:f>
        <x:v>119</x:v>
      </x:c>
    </x:row>
    <x:row r="134" spans="1:13" customFormat="1" ht="18" customHeight="1">
      <x:c r="A134" s="9" t="s">
        <x:v>176</x:v>
      </x:c>
      <x:c r="B134" s="15" t="s">
        <x:v>144</x:v>
      </x:c>
      <x:c r="C134" s="14" t="s">
        <x:v>62</x:v>
      </x:c>
      <x:c r="D134" s="1">
        <x:v>1</x:v>
      </x:c>
      <x:c r="E134" s="14" t="s">
        <x:v>247</x:v>
      </x:c>
      <x:c r="F134" s="1"/>
      <x:c r="G134" s="6">
        <x:v>0</x:v>
      </x:c>
      <x:c r="H134" s="1">
        <x:f>I18*D134</x:f>
        <x:v>0</x:v>
      </x:c>
      <x:c r="I134" s="1"/>
      <x:c r="J134" s="1"/>
      <x:c r="K134" s="22">
        <x:f>G134+J134-H134-I134</x:f>
        <x:v>0</x:v>
      </x:c>
      <x:c r="L134" s="19">
        <x:f>K134/D134</x:f>
        <x:v>0</x:v>
      </x:c>
      <x:c r="M134" s="25">
        <x:f>IF(L134&lt;=10,119,"")</x:f>
        <x:v>119</x:v>
      </x:c>
    </x:row>
    <x:row r="135" spans="1:13" ht="18" customHeight="1">
      <x:c r="A135" s="9" t="s">
        <x:v>176</x:v>
      </x:c>
      <x:c r="B135" s="15" t="s">
        <x:v>144</x:v>
      </x:c>
      <x:c r="C135" s="14" t="s">
        <x:v>62</x:v>
      </x:c>
      <x:c r="D135" s="1">
        <x:v>1</x:v>
      </x:c>
      <x:c r="E135" s="9" t="s">
        <x:v>83</x:v>
      </x:c>
      <x:c r="F135" s="1" t="s">
        <x:v>68</x:v>
      </x:c>
      <x:c r="G135" s="7">
        <x:f>'2026.9.4'!J80</x:f>
        <x:v>35</x:v>
      </x:c>
      <x:c r="H135" s="1">
        <x:f>K5*D135</x:f>
        <x:v>0</x:v>
      </x:c>
      <x:c r="K135" s="22">
        <x:f>G135+J135-H135-I135</x:f>
        <x:v>35</x:v>
      </x:c>
      <x:c r="L135" s="19">
        <x:f>K135/D135</x:f>
        <x:v>35</x:v>
      </x:c>
      <x:c r="M135" s="25" t="str">
        <x:f>IF(L135&lt;=10,119,"")</x:f>
        <x:v/>
      </x:c>
    </x:row>
    <x:row r="136" spans="1:13" ht="18" customHeight="1">
      <x:c r="A136" s="9" t="s">
        <x:v>176</x:v>
      </x:c>
      <x:c r="B136" s="15" t="s">
        <x:v>144</x:v>
      </x:c>
      <x:c r="C136" s="14" t="s">
        <x:v>62</x:v>
      </x:c>
      <x:c r="D136" s="1">
        <x:v>1</x:v>
      </x:c>
      <x:c r="E136" s="9" t="s">
        <x:v>41</x:v>
      </x:c>
      <x:c r="F136" s="1" t="s">
        <x:v>107</x:v>
      </x:c>
      <x:c r="G136" s="7">
        <x:f>'2026.9.4'!J81</x:f>
        <x:v>0</x:v>
      </x:c>
      <x:c r="H136" s="1">
        <x:f>K6*D136</x:f>
        <x:v>0</x:v>
      </x:c>
      <x:c r="K136" s="22">
        <x:f>G136+J136-H136-I136</x:f>
        <x:v>0</x:v>
      </x:c>
      <x:c r="L136" s="19">
        <x:f>K136/D136</x:f>
        <x:v>0</x:v>
      </x:c>
      <x:c r="M136" s="25">
        <x:f>IF(L136&lt;=10,119,"")</x:f>
        <x:v>119</x:v>
      </x:c>
    </x:row>
    <x:row r="137" spans="1:13" ht="18" customHeight="1">
      <x:c r="A137" s="9" t="s">
        <x:v>176</x:v>
      </x:c>
      <x:c r="B137" s="15" t="s">
        <x:v>144</x:v>
      </x:c>
      <x:c r="C137" s="14" t="s">
        <x:v>62</x:v>
      </x:c>
      <x:c r="D137" s="1">
        <x:v>1</x:v>
      </x:c>
      <x:c r="E137" s="9" t="s">
        <x:v>47</x:v>
      </x:c>
      <x:c r="F137" s="1" t="s">
        <x:v>59</x:v>
      </x:c>
      <x:c r="G137" s="7">
        <x:f>'2026.9.4'!J82</x:f>
        <x:v>44</x:v>
      </x:c>
      <x:c r="H137" s="1">
        <x:f>K7*D137</x:f>
        <x:v>0</x:v>
      </x:c>
      <x:c r="K137" s="22">
        <x:f>G137+J137-H137-I137</x:f>
        <x:v>44</x:v>
      </x:c>
      <x:c r="L137" s="19">
        <x:f>K137/D137</x:f>
        <x:v>44</x:v>
      </x:c>
      <x:c r="M137" s="25" t="str">
        <x:f>IF(L137&lt;=10,119,"")</x:f>
        <x:v/>
      </x:c>
    </x:row>
    <x:row r="138" spans="1:13" ht="18" customHeight="1">
      <x:c r="A138" s="9" t="s">
        <x:v>176</x:v>
      </x:c>
      <x:c r="B138" s="15" t="s">
        <x:v>144</x:v>
      </x:c>
      <x:c r="C138" s="14" t="s">
        <x:v>62</x:v>
      </x:c>
      <x:c r="D138" s="1">
        <x:v>1</x:v>
      </x:c>
      <x:c r="E138" s="9" t="s">
        <x:v>73</x:v>
      </x:c>
      <x:c r="F138" s="1" t="s">
        <x:v>56</x:v>
      </x:c>
      <x:c r="G138" s="7">
        <x:f>'2026.9.4'!J83</x:f>
        <x:v>35</x:v>
      </x:c>
      <x:c r="H138" s="1">
        <x:f>K8*D138</x:f>
        <x:v>0</x:v>
      </x:c>
      <x:c r="K138" s="22">
        <x:f>G138+J138-H138-I138</x:f>
        <x:v>35</x:v>
      </x:c>
      <x:c r="L138" s="19">
        <x:f>K138/D138</x:f>
        <x:v>35</x:v>
      </x:c>
      <x:c r="M138" s="25" t="str">
        <x:f>IF(L138&lt;=10,119,"")</x:f>
        <x:v/>
      </x:c>
    </x:row>
    <x:row r="139" spans="1:13" customFormat="1" ht="18" customHeight="1">
      <x:c r="A139" s="9" t="s">
        <x:v>176</x:v>
      </x:c>
      <x:c r="B139" s="15" t="s">
        <x:v>57</x:v>
      </x:c>
      <x:c r="C139" s="14" t="s">
        <x:v>112</x:v>
      </x:c>
      <x:c r="D139" s="1">
        <x:v>1</x:v>
      </x:c>
      <x:c r="E139" s="14" t="s">
        <x:v>244</x:v>
      </x:c>
      <x:c r="F139" s="1"/>
      <x:c r="G139" s="6">
        <x:v>4</x:v>
      </x:c>
      <x:c r="H139" s="1">
        <x:f>I17*D139</x:f>
        <x:v>0</x:v>
      </x:c>
      <x:c r="I139" s="1"/>
      <x:c r="J139" s="1"/>
      <x:c r="K139" s="22">
        <x:f>G139+J139-H139-I139</x:f>
        <x:v>4</x:v>
      </x:c>
      <x:c r="L139" s="19">
        <x:f>K139/D139</x:f>
        <x:v>4</x:v>
      </x:c>
      <x:c r="M139" s="25">
        <x:f>IF(L139&lt;=10,119,"")</x:f>
        <x:v>119</x:v>
      </x:c>
    </x:row>
    <x:row r="140" spans="1:13" customFormat="1" ht="18" customHeight="1">
      <x:c r="A140" s="9" t="s">
        <x:v>176</x:v>
      </x:c>
      <x:c r="B140" s="15" t="s">
        <x:v>57</x:v>
      </x:c>
      <x:c r="C140" s="14" t="s">
        <x:v>112</x:v>
      </x:c>
      <x:c r="D140" s="1">
        <x:v>1</x:v>
      </x:c>
      <x:c r="E140" s="14" t="s">
        <x:v>247</x:v>
      </x:c>
      <x:c r="F140" s="1"/>
      <x:c r="G140" s="6">
        <x:v>14</x:v>
      </x:c>
      <x:c r="H140" s="1">
        <x:f>I18*D140</x:f>
        <x:v>0</x:v>
      </x:c>
      <x:c r="I140" s="1"/>
      <x:c r="J140" s="1"/>
      <x:c r="K140" s="22">
        <x:f>G140+J140-H140-I140</x:f>
        <x:v>14</x:v>
      </x:c>
      <x:c r="L140" s="19">
        <x:f>K140/D140</x:f>
        <x:v>14</x:v>
      </x:c>
      <x:c r="M140" s="25" t="str">
        <x:f>IF(L140&lt;=10,119,"")</x:f>
        <x:v/>
      </x:c>
    </x:row>
    <x:row r="141" spans="1:13" ht="18" customHeight="1">
      <x:c r="A141" s="9" t="s">
        <x:v>176</x:v>
      </x:c>
      <x:c r="B141" s="15" t="s">
        <x:v>57</x:v>
      </x:c>
      <x:c r="C141" s="14" t="s">
        <x:v>112</x:v>
      </x:c>
      <x:c r="D141" s="1">
        <x:v>1</x:v>
      </x:c>
      <x:c r="E141" s="9" t="s">
        <x:v>83</x:v>
      </x:c>
      <x:c r="F141" s="1" t="s">
        <x:v>194</x:v>
      </x:c>
      <x:c r="G141" s="7">
        <x:f>'2026.9.4'!J84</x:f>
        <x:v>41</x:v>
      </x:c>
      <x:c r="H141" s="1">
        <x:f>K5*D141</x:f>
        <x:v>0</x:v>
      </x:c>
      <x:c r="K141" s="22">
        <x:f>G141+J141-H141-I141</x:f>
        <x:v>41</x:v>
      </x:c>
      <x:c r="L141" s="19">
        <x:f>K141/D141</x:f>
        <x:v>41</x:v>
      </x:c>
      <x:c r="M141" s="25" t="str">
        <x:f>IF(L141&lt;=10,119,"")</x:f>
        <x:v/>
      </x:c>
    </x:row>
    <x:row r="142" spans="1:13" ht="18" customHeight="1">
      <x:c r="A142" s="9" t="s">
        <x:v>176</x:v>
      </x:c>
      <x:c r="B142" s="15" t="s">
        <x:v>57</x:v>
      </x:c>
      <x:c r="C142" s="14" t="s">
        <x:v>112</x:v>
      </x:c>
      <x:c r="D142" s="1">
        <x:v>1</x:v>
      </x:c>
      <x:c r="E142" s="9" t="s">
        <x:v>41</x:v>
      </x:c>
      <x:c r="F142" s="1" t="s">
        <x:v>164</x:v>
      </x:c>
      <x:c r="G142" s="7">
        <x:f>'2026.9.4'!J85</x:f>
        <x:v>1</x:v>
      </x:c>
      <x:c r="H142" s="1">
        <x:f>K6*D142</x:f>
        <x:v>0</x:v>
      </x:c>
      <x:c r="K142" s="22">
        <x:f>G142+J142-H142-I142</x:f>
        <x:v>1</x:v>
      </x:c>
      <x:c r="L142" s="19">
        <x:f>K142/D142</x:f>
        <x:v>1</x:v>
      </x:c>
      <x:c r="M142" s="25">
        <x:f>IF(L142&lt;=10,119,"")</x:f>
        <x:v>119</x:v>
      </x:c>
    </x:row>
    <x:row r="143" spans="1:13" ht="18" customHeight="1">
      <x:c r="A143" s="9" t="s">
        <x:v>176</x:v>
      </x:c>
      <x:c r="B143" s="15" t="s">
        <x:v>57</x:v>
      </x:c>
      <x:c r="C143" s="14" t="s">
        <x:v>112</x:v>
      </x:c>
      <x:c r="D143" s="1">
        <x:v>1</x:v>
      </x:c>
      <x:c r="E143" s="9" t="s">
        <x:v>47</x:v>
      </x:c>
      <x:c r="F143" s="1" t="s">
        <x:v>146</x:v>
      </x:c>
      <x:c r="G143" s="7">
        <x:f>'2026.9.4'!J86</x:f>
        <x:v>36</x:v>
      </x:c>
      <x:c r="H143" s="1">
        <x:f>K7*D143</x:f>
        <x:v>0</x:v>
      </x:c>
      <x:c r="K143" s="22">
        <x:f>G143+J143-H143-I143</x:f>
        <x:v>36</x:v>
      </x:c>
      <x:c r="L143" s="19">
        <x:f>K143/D143</x:f>
        <x:v>36</x:v>
      </x:c>
      <x:c r="M143" s="25" t="str">
        <x:f>IF(L143&lt;=10,119,"")</x:f>
        <x:v/>
      </x:c>
    </x:row>
    <x:row r="144" spans="1:13" ht="18" customHeight="1">
      <x:c r="A144" s="9" t="s">
        <x:v>176</x:v>
      </x:c>
      <x:c r="B144" s="15" t="s">
        <x:v>57</x:v>
      </x:c>
      <x:c r="C144" s="14" t="s">
        <x:v>112</x:v>
      </x:c>
      <x:c r="D144" s="1">
        <x:v>1</x:v>
      </x:c>
      <x:c r="E144" s="9" t="s">
        <x:v>73</x:v>
      </x:c>
      <x:c r="F144" s="1" t="s">
        <x:v>146</x:v>
      </x:c>
      <x:c r="G144" s="7">
        <x:f>'2026.9.4'!J87</x:f>
        <x:v>34</x:v>
      </x:c>
      <x:c r="H144" s="1">
        <x:f>K8*D144</x:f>
        <x:v>0</x:v>
      </x:c>
      <x:c r="K144" s="22">
        <x:f>G144+J144-H144-I144</x:f>
        <x:v>34</x:v>
      </x:c>
      <x:c r="L144" s="19">
        <x:f>K144/D144</x:f>
        <x:v>34</x:v>
      </x:c>
      <x:c r="M144" s="25" t="str">
        <x:f>IF(L144&lt;=10,119,"")</x:f>
        <x:v/>
      </x:c>
    </x:row>
    <x:row r="145" spans="1:13" customFormat="1" ht="18" customHeight="1">
      <x:c r="A145" s="9" t="s">
        <x:v>176</x:v>
      </x:c>
      <x:c r="B145" s="15" t="s">
        <x:v>149</x:v>
      </x:c>
      <x:c r="C145" s="14" t="s">
        <x:v>143</x:v>
      </x:c>
      <x:c r="D145" s="1">
        <x:v>1</x:v>
      </x:c>
      <x:c r="E145" s="14" t="s">
        <x:v>246</x:v>
      </x:c>
      <x:c r="F145" s="1" t="s">
        <x:v>289</x:v>
      </x:c>
      <x:c r="G145" s="7">
        <x:f>'2026.9.4'!J88</x:f>
        <x:v>1</x:v>
      </x:c>
      <x:c r="H145" s="1">
        <x:f>SUM(I5:I6)*D145</x:f>
        <x:v>0</x:v>
      </x:c>
      <x:c r="I145" s="1"/>
      <x:c r="J145" s="1"/>
      <x:c r="K145" s="22">
        <x:f>G145+J145-H145-I145</x:f>
        <x:v>1</x:v>
      </x:c>
      <x:c r="L145" s="19">
        <x:f>K145/D145</x:f>
        <x:v>1</x:v>
      </x:c>
      <x:c r="M145" s="25">
        <x:f>IF(L145&lt;=10,119,"")</x:f>
        <x:v>119</x:v>
      </x:c>
    </x:row>
    <x:row r="146" spans="1:13" customFormat="1" ht="18" customHeight="1">
      <x:c r="A146" s="9" t="s">
        <x:v>176</x:v>
      </x:c>
      <x:c r="B146" s="15" t="s">
        <x:v>149</x:v>
      </x:c>
      <x:c r="C146" s="14" t="s">
        <x:v>143</x:v>
      </x:c>
      <x:c r="D146" s="1">
        <x:v>1</x:v>
      </x:c>
      <x:c r="E146" s="14" t="s">
        <x:v>246</x:v>
      </x:c>
      <x:c r="F146" s="6" t="s">
        <x:v>162</x:v>
      </x:c>
      <x:c r="G146" s="7">
        <x:f>'2026.9.4'!J89</x:f>
        <x:v>3</x:v>
      </x:c>
      <x:c r="H146" s="1">
        <x:f>SUM(I5:I6)*D146</x:f>
        <x:v>0</x:v>
      </x:c>
      <x:c r="I146" s="1"/>
      <x:c r="J146" s="1"/>
      <x:c r="K146" s="22">
        <x:f>G146+J146-H146-I146</x:f>
        <x:v>3</x:v>
      </x:c>
      <x:c r="L146" s="19">
        <x:f>K146/D146</x:f>
        <x:v>3</x:v>
      </x:c>
      <x:c r="M146" s="25">
        <x:f>IF(L146&lt;=10,119,"")</x:f>
        <x:v>119</x:v>
      </x:c>
    </x:row>
    <x:row r="147" spans="1:13" customFormat="1" ht="18" customHeight="1">
      <x:c r="A147" s="9" t="s">
        <x:v>176</x:v>
      </x:c>
      <x:c r="B147" s="15" t="s">
        <x:v>149</x:v>
      </x:c>
      <x:c r="C147" s="14" t="s">
        <x:v>143</x:v>
      </x:c>
      <x:c r="D147" s="1">
        <x:v>1</x:v>
      </x:c>
      <x:c r="E147" s="14" t="s">
        <x:v>23</x:v>
      </x:c>
      <x:c r="F147" s="1" t="s">
        <x:v>289</x:v>
      </x:c>
      <x:c r="G147" s="7">
        <x:f>'2026.9.4'!J90</x:f>
        <x:v>0</x:v>
      </x:c>
      <x:c r="H147" s="1">
        <x:f>I3*D147</x:f>
        <x:v>0</x:v>
      </x:c>
      <x:c r="I147" s="1"/>
      <x:c r="J147" s="1"/>
      <x:c r="K147" s="22">
        <x:f>G147+J147-H147-I147</x:f>
        <x:v>0</x:v>
      </x:c>
      <x:c r="L147" s="19">
        <x:f>K147/D147</x:f>
        <x:v>0</x:v>
      </x:c>
      <x:c r="M147" s="25">
        <x:f>IF(L147&lt;=10,119,"")</x:f>
        <x:v>119</x:v>
      </x:c>
    </x:row>
    <x:row r="148" spans="1:13" customFormat="1" ht="18" customHeight="1">
      <x:c r="A148" s="9" t="s">
        <x:v>176</x:v>
      </x:c>
      <x:c r="B148" s="15" t="s">
        <x:v>149</x:v>
      </x:c>
      <x:c r="C148" s="14" t="s">
        <x:v>143</x:v>
      </x:c>
      <x:c r="D148" s="1">
        <x:v>1</x:v>
      </x:c>
      <x:c r="E148" s="14" t="s">
        <x:v>23</x:v>
      </x:c>
      <x:c r="F148" s="6" t="s">
        <x:v>162</x:v>
      </x:c>
      <x:c r="G148" s="7">
        <x:f>'2026.9.4'!J91</x:f>
        <x:v>0</x:v>
      </x:c>
      <x:c r="H148" s="1">
        <x:f>I3*D148</x:f>
        <x:v>0</x:v>
      </x:c>
      <x:c r="I148" s="1"/>
      <x:c r="J148" s="1"/>
      <x:c r="K148" s="22">
        <x:f>G148+J148-H148-I148</x:f>
        <x:v>0</x:v>
      </x:c>
      <x:c r="L148" s="19">
        <x:f>K148/D148</x:f>
        <x:v>0</x:v>
      </x:c>
      <x:c r="M148" s="25">
        <x:f>IF(L148&lt;=10,119,"")</x:f>
        <x:v>119</x:v>
      </x:c>
    </x:row>
    <x:row r="149" spans="1:13" customFormat="1" ht="18" customHeight="1">
      <x:c r="A149" s="9" t="s">
        <x:v>176</x:v>
      </x:c>
      <x:c r="B149" s="15" t="s">
        <x:v>149</x:v>
      </x:c>
      <x:c r="C149" s="14" t="s">
        <x:v>143</x:v>
      </x:c>
      <x:c r="D149" s="1">
        <x:v>1</x:v>
      </x:c>
      <x:c r="E149" s="14" t="s">
        <x:v>51</x:v>
      </x:c>
      <x:c r="F149" s="1" t="s">
        <x:v>289</x:v>
      </x:c>
      <x:c r="G149" s="7">
        <x:f>'2026.9.4'!J92</x:f>
        <x:v>4</x:v>
      </x:c>
      <x:c r="H149" s="1">
        <x:f>I6</x:f>
        <x:v>0</x:v>
      </x:c>
      <x:c r="I149" s="1"/>
      <x:c r="J149" s="1"/>
      <x:c r="K149" s="22">
        <x:f>G149+J149-H149-I149</x:f>
        <x:v>4</x:v>
      </x:c>
      <x:c r="L149" s="19">
        <x:f>K149/D149</x:f>
        <x:v>4</x:v>
      </x:c>
      <x:c r="M149" s="25">
        <x:f>IF(L149&lt;=10,119,"")</x:f>
        <x:v>119</x:v>
      </x:c>
    </x:row>
    <x:row r="150" spans="1:13" customFormat="1" ht="18" customHeight="1">
      <x:c r="A150" s="9" t="s">
        <x:v>176</x:v>
      </x:c>
      <x:c r="B150" s="15" t="s">
        <x:v>149</x:v>
      </x:c>
      <x:c r="C150" s="14" t="s">
        <x:v>143</x:v>
      </x:c>
      <x:c r="D150" s="1">
        <x:v>1</x:v>
      </x:c>
      <x:c r="E150" s="14" t="s">
        <x:v>51</x:v>
      </x:c>
      <x:c r="F150" s="6" t="s">
        <x:v>162</x:v>
      </x:c>
      <x:c r="G150" s="7">
        <x:f>'2026.9.4'!J93</x:f>
        <x:v>4</x:v>
      </x:c>
      <x:c r="H150" s="1">
        <x:f>I6</x:f>
        <x:v>0</x:v>
      </x:c>
      <x:c r="I150" s="1"/>
      <x:c r="J150" s="1"/>
      <x:c r="K150" s="22">
        <x:f>G150+J150-H150-I150</x:f>
        <x:v>4</x:v>
      </x:c>
      <x:c r="L150" s="19">
        <x:f>K150/D150</x:f>
        <x:v>4</x:v>
      </x:c>
      <x:c r="M150" s="25">
        <x:f>IF(L150&lt;=10,119,"")</x:f>
        <x:v>119</x:v>
      </x:c>
    </x:row>
    <x:row r="151" spans="1:13" customFormat="1" ht="18" customHeight="1">
      <x:c r="A151" s="9" t="s">
        <x:v>176</x:v>
      </x:c>
      <x:c r="B151" s="15" t="s">
        <x:v>149</x:v>
      </x:c>
      <x:c r="C151" s="14" t="s">
        <x:v>143</x:v>
      </x:c>
      <x:c r="D151" s="1">
        <x:v>1</x:v>
      </x:c>
      <x:c r="E151" s="14" t="s">
        <x:v>234</x:v>
      </x:c>
      <x:c r="F151" s="1" t="s">
        <x:v>289</x:v>
      </x:c>
      <x:c r="G151" s="7">
        <x:f>'2026.9.4'!J94</x:f>
        <x:v>44</x:v>
      </x:c>
      <x:c r="H151" s="1">
        <x:f>SUM(I11,I7)</x:f>
        <x:v>0</x:v>
      </x:c>
      <x:c r="I151" s="1"/>
      <x:c r="J151" s="1"/>
      <x:c r="K151" s="22">
        <x:f>G151+J151-H151-I151</x:f>
        <x:v>44</x:v>
      </x:c>
      <x:c r="L151" s="19">
        <x:f>K151/D151</x:f>
        <x:v>44</x:v>
      </x:c>
      <x:c r="M151" s="25" t="str">
        <x:f>IF(L151&lt;=10,119,"")</x:f>
        <x:v/>
      </x:c>
    </x:row>
    <x:row r="152" spans="1:13" customFormat="1" ht="18" customHeight="1">
      <x:c r="A152" s="9" t="s">
        <x:v>176</x:v>
      </x:c>
      <x:c r="B152" s="15" t="s">
        <x:v>149</x:v>
      </x:c>
      <x:c r="C152" s="14" t="s">
        <x:v>143</x:v>
      </x:c>
      <x:c r="D152" s="1">
        <x:v>1</x:v>
      </x:c>
      <x:c r="E152" s="14" t="s">
        <x:v>234</x:v>
      </x:c>
      <x:c r="F152" s="6" t="s">
        <x:v>162</x:v>
      </x:c>
      <x:c r="G152" s="7">
        <x:f>'2026.9.4'!J95</x:f>
        <x:v>44</x:v>
      </x:c>
      <x:c r="H152" s="1">
        <x:f>SUM(I7,I11)</x:f>
        <x:v>0</x:v>
      </x:c>
      <x:c r="I152" s="1"/>
      <x:c r="J152" s="1"/>
      <x:c r="K152" s="22">
        <x:f>G152+J152-H152-I152</x:f>
        <x:v>44</x:v>
      </x:c>
      <x:c r="L152" s="19">
        <x:f>K152/D152</x:f>
        <x:v>44</x:v>
      </x:c>
      <x:c r="M152" s="25" t="str">
        <x:f>IF(L152&lt;=10,119,"")</x:f>
        <x:v/>
      </x:c>
    </x:row>
    <x:row r="153" spans="1:13" customFormat="1" ht="18" customHeight="1">
      <x:c r="A153" s="9" t="s">
        <x:v>176</x:v>
      </x:c>
      <x:c r="B153" s="15" t="s">
        <x:v>149</x:v>
      </x:c>
      <x:c r="C153" s="14" t="s">
        <x:v>143</x:v>
      </x:c>
      <x:c r="D153" s="1">
        <x:v>1</x:v>
      </x:c>
      <x:c r="E153" s="14" t="s">
        <x:v>44</x:v>
      </x:c>
      <x:c r="F153" s="1" t="s">
        <x:v>289</x:v>
      </x:c>
      <x:c r="G153" s="7">
        <x:f>'2026.9.4'!J96</x:f>
        <x:v>26</x:v>
      </x:c>
      <x:c r="H153" s="1">
        <x:f>I8</x:f>
        <x:v>0</x:v>
      </x:c>
      <x:c r="I153" s="1"/>
      <x:c r="J153" s="1"/>
      <x:c r="K153" s="22">
        <x:f>G153+J153-H153-I153</x:f>
        <x:v>26</x:v>
      </x:c>
      <x:c r="L153" s="19">
        <x:f>K153/D153</x:f>
        <x:v>26</x:v>
      </x:c>
      <x:c r="M153" s="25" t="str">
        <x:f>IF(L153&lt;=10,119,"")</x:f>
        <x:v/>
      </x:c>
    </x:row>
    <x:row r="154" spans="1:13" customFormat="1" ht="18" customHeight="1">
      <x:c r="A154" s="9" t="s">
        <x:v>176</x:v>
      </x:c>
      <x:c r="B154" s="15" t="s">
        <x:v>149</x:v>
      </x:c>
      <x:c r="C154" s="14" t="s">
        <x:v>143</x:v>
      </x:c>
      <x:c r="D154" s="1">
        <x:v>1</x:v>
      </x:c>
      <x:c r="E154" s="14" t="s">
        <x:v>44</x:v>
      </x:c>
      <x:c r="F154" s="6" t="s">
        <x:v>162</x:v>
      </x:c>
      <x:c r="G154" s="7">
        <x:f>'2026.9.4'!J97</x:f>
        <x:v>26</x:v>
      </x:c>
      <x:c r="H154" s="1">
        <x:f>I8</x:f>
        <x:v>0</x:v>
      </x:c>
      <x:c r="I154" s="1"/>
      <x:c r="J154" s="1"/>
      <x:c r="K154" s="22">
        <x:f>G154+J154-H154-I154</x:f>
        <x:v>26</x:v>
      </x:c>
      <x:c r="L154" s="19">
        <x:f>K154/D154</x:f>
        <x:v>26</x:v>
      </x:c>
      <x:c r="M154" s="25" t="str">
        <x:f>IF(L154&lt;=10,119,"")</x:f>
        <x:v/>
      </x:c>
    </x:row>
    <x:row r="155" spans="1:13" customFormat="1" ht="18" customHeight="1">
      <x:c r="A155" s="9" t="s">
        <x:v>176</x:v>
      </x:c>
      <x:c r="B155" s="15" t="s">
        <x:v>149</x:v>
      </x:c>
      <x:c r="C155" s="14" t="s">
        <x:v>143</x:v>
      </x:c>
      <x:c r="D155" s="1">
        <x:v>1</x:v>
      </x:c>
      <x:c r="E155" s="14" t="s">
        <x:v>76</x:v>
      </x:c>
      <x:c r="F155" s="1" t="s">
        <x:v>289</x:v>
      </x:c>
      <x:c r="G155" s="7">
        <x:f>'2026.9.4'!J98</x:f>
        <x:v>0</x:v>
      </x:c>
      <x:c r="H155" s="1">
        <x:f>I9</x:f>
        <x:v>0</x:v>
      </x:c>
      <x:c r="I155" s="1"/>
      <x:c r="J155" s="1"/>
      <x:c r="K155" s="22">
        <x:f>G155+J155-H155-I155</x:f>
        <x:v>0</x:v>
      </x:c>
      <x:c r="L155" s="19">
        <x:f>K155/D155</x:f>
        <x:v>0</x:v>
      </x:c>
      <x:c r="M155" s="25">
        <x:f>IF(L155&lt;=10,119,"")</x:f>
        <x:v>119</x:v>
      </x:c>
    </x:row>
    <x:row r="156" spans="1:13" customFormat="1" ht="18" customHeight="1">
      <x:c r="A156" s="9" t="s">
        <x:v>176</x:v>
      </x:c>
      <x:c r="B156" s="15" t="s">
        <x:v>149</x:v>
      </x:c>
      <x:c r="C156" s="14" t="s">
        <x:v>143</x:v>
      </x:c>
      <x:c r="D156" s="1">
        <x:v>1</x:v>
      </x:c>
      <x:c r="E156" s="14" t="s">
        <x:v>76</x:v>
      </x:c>
      <x:c r="F156" s="6" t="s">
        <x:v>162</x:v>
      </x:c>
      <x:c r="G156" s="7">
        <x:f>'2026.9.4'!J99</x:f>
        <x:v>0</x:v>
      </x:c>
      <x:c r="H156" s="1">
        <x:f>I9</x:f>
        <x:v>0</x:v>
      </x:c>
      <x:c r="I156" s="1"/>
      <x:c r="J156" s="1"/>
      <x:c r="K156" s="22">
        <x:f>G156+J156-H156-I156</x:f>
        <x:v>0</x:v>
      </x:c>
      <x:c r="L156" s="19">
        <x:f>K156/D156</x:f>
        <x:v>0</x:v>
      </x:c>
      <x:c r="M156" s="25">
        <x:f>IF(L156&lt;=10,119,"")</x:f>
        <x:v>119</x:v>
      </x:c>
    </x:row>
    <x:row r="157" spans="1:13" customFormat="1" ht="18" customHeight="1">
      <x:c r="A157" s="9" t="s">
        <x:v>176</x:v>
      </x:c>
      <x:c r="B157" s="15" t="s">
        <x:v>149</x:v>
      </x:c>
      <x:c r="C157" s="14" t="s">
        <x:v>143</x:v>
      </x:c>
      <x:c r="D157" s="1">
        <x:v>1</x:v>
      </x:c>
      <x:c r="E157" s="14" t="s">
        <x:v>6</x:v>
      </x:c>
      <x:c r="F157" s="1" t="s">
        <x:v>289</x:v>
      </x:c>
      <x:c r="G157" s="7">
        <x:f>'2026.9.4'!J100</x:f>
        <x:v>6</x:v>
      </x:c>
      <x:c r="H157" s="1">
        <x:f>SUM(I10,I12)*D157</x:f>
        <x:v>0</x:v>
      </x:c>
      <x:c r="I157" s="1"/>
      <x:c r="J157" s="1"/>
      <x:c r="K157" s="22">
        <x:f>G157+J157-H157-I157</x:f>
        <x:v>6</x:v>
      </x:c>
      <x:c r="L157" s="19">
        <x:f>K157/D157</x:f>
        <x:v>6</x:v>
      </x:c>
      <x:c r="M157" s="25">
        <x:f>IF(L157&lt;=10,119,"")</x:f>
        <x:v>119</x:v>
      </x:c>
    </x:row>
    <x:row r="158" spans="1:13" customFormat="1" ht="18" customHeight="1">
      <x:c r="A158" s="9" t="s">
        <x:v>176</x:v>
      </x:c>
      <x:c r="B158" s="15" t="s">
        <x:v>149</x:v>
      </x:c>
      <x:c r="C158" s="14" t="s">
        <x:v>143</x:v>
      </x:c>
      <x:c r="D158" s="1">
        <x:v>1</x:v>
      </x:c>
      <x:c r="E158" s="14" t="s">
        <x:v>6</x:v>
      </x:c>
      <x:c r="F158" s="6" t="s">
        <x:v>162</x:v>
      </x:c>
      <x:c r="G158" s="7">
        <x:f>'2026.9.4'!J101</x:f>
        <x:v>6</x:v>
      </x:c>
      <x:c r="H158" s="1">
        <x:f>SUM(I10,I12)*D158</x:f>
        <x:v>0</x:v>
      </x:c>
      <x:c r="I158" s="1"/>
      <x:c r="J158" s="1"/>
      <x:c r="K158" s="22">
        <x:f>G158+J158-H158-I158</x:f>
        <x:v>6</x:v>
      </x:c>
      <x:c r="L158" s="19">
        <x:f>K158/D158</x:f>
        <x:v>6</x:v>
      </x:c>
      <x:c r="M158" s="25">
        <x:f>IF(L158&lt;=10,119,"")</x:f>
        <x:v>119</x:v>
      </x:c>
    </x:row>
    <x:row r="159" spans="1:13" customFormat="1" ht="18" customHeight="1">
      <x:c r="A159" s="9" t="s">
        <x:v>176</x:v>
      </x:c>
      <x:c r="B159" s="15" t="s">
        <x:v>149</x:v>
      </x:c>
      <x:c r="C159" s="14" t="s">
        <x:v>143</x:v>
      </x:c>
      <x:c r="D159" s="1">
        <x:v>1</x:v>
      </x:c>
      <x:c r="E159" s="14" t="s">
        <x:v>239</x:v>
      </x:c>
      <x:c r="F159" s="1" t="s">
        <x:v>289</x:v>
      </x:c>
      <x:c r="G159" s="7">
        <x:f>'2026.9.4'!J102</x:f>
        <x:v>36</x:v>
      </x:c>
      <x:c r="H159" s="1">
        <x:f>SUM(I13,I14,I15)</x:f>
        <x:v>0</x:v>
      </x:c>
      <x:c r="I159" s="1"/>
      <x:c r="J159" s="1"/>
      <x:c r="K159" s="22">
        <x:f>G159+J159-H159-I159</x:f>
        <x:v>36</x:v>
      </x:c>
      <x:c r="L159" s="19">
        <x:f>K159/D159</x:f>
        <x:v>36</x:v>
      </x:c>
      <x:c r="M159" s="25" t="str">
        <x:f>IF(L159&lt;=10,119,"")</x:f>
        <x:v/>
      </x:c>
    </x:row>
    <x:row r="160" spans="1:13" customFormat="1" ht="18" customHeight="1">
      <x:c r="A160" s="9" t="s">
        <x:v>176</x:v>
      </x:c>
      <x:c r="B160" s="15" t="s">
        <x:v>149</x:v>
      </x:c>
      <x:c r="C160" s="14" t="s">
        <x:v>143</x:v>
      </x:c>
      <x:c r="D160" s="1">
        <x:v>1</x:v>
      </x:c>
      <x:c r="E160" s="14" t="s">
        <x:v>239</x:v>
      </x:c>
      <x:c r="F160" s="6" t="s">
        <x:v>162</x:v>
      </x:c>
      <x:c r="G160" s="7">
        <x:f>'2026.9.4'!J103</x:f>
        <x:v>36</x:v>
      </x:c>
      <x:c r="H160" s="1">
        <x:f>SUM(I13,I14,I15)</x:f>
        <x:v>0</x:v>
      </x:c>
      <x:c r="I160" s="1"/>
      <x:c r="J160" s="1"/>
      <x:c r="K160" s="22">
        <x:f>G160+J160-H160-I160</x:f>
        <x:v>36</x:v>
      </x:c>
      <x:c r="L160" s="19">
        <x:f>K160/D160</x:f>
        <x:v>36</x:v>
      </x:c>
      <x:c r="M160" s="25" t="str">
        <x:f>IF(L160&lt;=10,119,"")</x:f>
        <x:v/>
      </x:c>
    </x:row>
    <x:row r="161" spans="1:13" customFormat="1" ht="18" customHeight="1">
      <x:c r="A161" s="9" t="s">
        <x:v>176</x:v>
      </x:c>
      <x:c r="B161" s="15" t="s">
        <x:v>149</x:v>
      </x:c>
      <x:c r="C161" s="14" t="s">
        <x:v>143</x:v>
      </x:c>
      <x:c r="D161" s="1">
        <x:v>1</x:v>
      </x:c>
      <x:c r="E161" s="14" t="s">
        <x:v>70</x:v>
      </x:c>
      <x:c r="F161" s="1" t="s">
        <x:v>289</x:v>
      </x:c>
      <x:c r="G161" s="7">
        <x:f>'2026.9.4'!J104</x:f>
        <x:v>24</x:v>
      </x:c>
      <x:c r="H161" s="1">
        <x:f>I16</x:f>
        <x:v>0</x:v>
      </x:c>
      <x:c r="I161" s="1"/>
      <x:c r="J161" s="1"/>
      <x:c r="K161" s="22">
        <x:f>G161+J161-H161-I161</x:f>
        <x:v>24</x:v>
      </x:c>
      <x:c r="L161" s="19">
        <x:f>K161/D161</x:f>
        <x:v>24</x:v>
      </x:c>
      <x:c r="M161" s="25" t="str">
        <x:f>IF(L161&lt;=10,119,"")</x:f>
        <x:v/>
      </x:c>
    </x:row>
    <x:row r="162" spans="1:13" customFormat="1" ht="18" customHeight="1">
      <x:c r="A162" s="9" t="s">
        <x:v>176</x:v>
      </x:c>
      <x:c r="B162" s="15" t="s">
        <x:v>149</x:v>
      </x:c>
      <x:c r="C162" s="14" t="s">
        <x:v>143</x:v>
      </x:c>
      <x:c r="D162" s="1">
        <x:v>1</x:v>
      </x:c>
      <x:c r="E162" s="14" t="s">
        <x:v>70</x:v>
      </x:c>
      <x:c r="F162" s="6" t="s">
        <x:v>162</x:v>
      </x:c>
      <x:c r="G162" s="7">
        <x:f>'2026.9.4'!J105</x:f>
        <x:v>24</x:v>
      </x:c>
      <x:c r="H162" s="1">
        <x:f>I16</x:f>
        <x:v>0</x:v>
      </x:c>
      <x:c r="I162" s="1"/>
      <x:c r="J162" s="1"/>
      <x:c r="K162" s="22">
        <x:f>G162+J162-H162-I162</x:f>
        <x:v>24</x:v>
      </x:c>
      <x:c r="L162" s="19">
        <x:f>K162/D162</x:f>
        <x:v>24</x:v>
      </x:c>
      <x:c r="M162" s="25" t="str">
        <x:f>IF(L162&lt;=10,119,"")</x:f>
        <x:v/>
      </x:c>
    </x:row>
    <x:row r="163" spans="1:13" customFormat="1" ht="18" customHeight="1">
      <x:c r="A163" s="9" t="s">
        <x:v>176</x:v>
      </x:c>
      <x:c r="B163" s="15" t="s">
        <x:v>149</x:v>
      </x:c>
      <x:c r="C163" s="14" t="s">
        <x:v>143</x:v>
      </x:c>
      <x:c r="D163" s="1">
        <x:v>1</x:v>
      </x:c>
      <x:c r="E163" s="14" t="s">
        <x:v>244</x:v>
      </x:c>
      <x:c r="F163" s="1" t="s">
        <x:v>289</x:v>
      </x:c>
      <x:c r="G163" s="6">
        <x:v>0</x:v>
      </x:c>
      <x:c r="H163" s="1">
        <x:f>I17*D163</x:f>
        <x:v>0</x:v>
      </x:c>
      <x:c r="I163" s="1"/>
      <x:c r="J163" s="1"/>
      <x:c r="K163" s="22">
        <x:f>G163+J163-H163-I163</x:f>
        <x:v>0</x:v>
      </x:c>
      <x:c r="L163" s="19">
        <x:f>K163/D163</x:f>
        <x:v>0</x:v>
      </x:c>
      <x:c r="M163" s="25">
        <x:f>IF(L163&lt;=10,119,"")</x:f>
        <x:v>119</x:v>
      </x:c>
    </x:row>
    <x:row r="164" spans="1:13" customFormat="1" ht="18" customHeight="1">
      <x:c r="A164" s="9" t="s">
        <x:v>176</x:v>
      </x:c>
      <x:c r="B164" s="15" t="s">
        <x:v>149</x:v>
      </x:c>
      <x:c r="C164" s="14" t="s">
        <x:v>143</x:v>
      </x:c>
      <x:c r="D164" s="1">
        <x:v>1</x:v>
      </x:c>
      <x:c r="E164" s="14" t="s">
        <x:v>244</x:v>
      </x:c>
      <x:c r="F164" s="6" t="s">
        <x:v>162</x:v>
      </x:c>
      <x:c r="G164" s="6">
        <x:v>0</x:v>
      </x:c>
      <x:c r="H164" s="1">
        <x:f>I17*D164</x:f>
        <x:v>0</x:v>
      </x:c>
      <x:c r="I164" s="1"/>
      <x:c r="J164" s="1"/>
      <x:c r="K164" s="22">
        <x:f>G164+J164-H164-I164</x:f>
        <x:v>0</x:v>
      </x:c>
      <x:c r="L164" s="19">
        <x:f>K164/D164</x:f>
        <x:v>0</x:v>
      </x:c>
      <x:c r="M164" s="25">
        <x:f>IF(L164&lt;=10,119,"")</x:f>
        <x:v>119</x:v>
      </x:c>
    </x:row>
    <x:row r="165" spans="1:13" customFormat="1" ht="18" customHeight="1">
      <x:c r="A165" s="9" t="s">
        <x:v>176</x:v>
      </x:c>
      <x:c r="B165" s="15" t="s">
        <x:v>149</x:v>
      </x:c>
      <x:c r="C165" s="14" t="s">
        <x:v>143</x:v>
      </x:c>
      <x:c r="D165" s="1">
        <x:v>1</x:v>
      </x:c>
      <x:c r="E165" s="14" t="s">
        <x:v>247</x:v>
      </x:c>
      <x:c r="F165" s="1" t="s">
        <x:v>289</x:v>
      </x:c>
      <x:c r="G165" s="6">
        <x:v>0</x:v>
      </x:c>
      <x:c r="H165" s="1">
        <x:f>I18*D165</x:f>
        <x:v>0</x:v>
      </x:c>
      <x:c r="I165" s="1"/>
      <x:c r="J165" s="1"/>
      <x:c r="K165" s="22">
        <x:f>G165+J165-H165-I165</x:f>
        <x:v>0</x:v>
      </x:c>
      <x:c r="L165" s="19">
        <x:f>K165/D165</x:f>
        <x:v>0</x:v>
      </x:c>
      <x:c r="M165" s="25">
        <x:f>IF(L165&lt;=10,119,"")</x:f>
        <x:v>119</x:v>
      </x:c>
    </x:row>
    <x:row r="166" spans="1:13" customFormat="1" ht="18" customHeight="1">
      <x:c r="A166" s="9" t="s">
        <x:v>176</x:v>
      </x:c>
      <x:c r="B166" s="15" t="s">
        <x:v>149</x:v>
      </x:c>
      <x:c r="C166" s="14" t="s">
        <x:v>143</x:v>
      </x:c>
      <x:c r="D166" s="1">
        <x:v>1</x:v>
      </x:c>
      <x:c r="E166" s="14" t="s">
        <x:v>247</x:v>
      </x:c>
      <x:c r="F166" s="6" t="s">
        <x:v>162</x:v>
      </x:c>
      <x:c r="G166" s="6">
        <x:v>0</x:v>
      </x:c>
      <x:c r="H166" s="1">
        <x:f>I18*D166</x:f>
        <x:v>0</x:v>
      </x:c>
      <x:c r="I166" s="1"/>
      <x:c r="J166" s="1"/>
      <x:c r="K166" s="22">
        <x:f>G166+J166-H166-I166</x:f>
        <x:v>0</x:v>
      </x:c>
      <x:c r="L166" s="19">
        <x:f>K166/D166</x:f>
        <x:v>0</x:v>
      </x:c>
      <x:c r="M166" s="25">
        <x:f>IF(L166&lt;=10,119,"")</x:f>
        <x:v>119</x:v>
      </x:c>
    </x:row>
    <x:row r="167" spans="1:13" customFormat="1" ht="18" customHeight="1">
      <x:c r="A167" s="9" t="s">
        <x:v>176</x:v>
      </x:c>
      <x:c r="B167" s="15" t="s">
        <x:v>149</x:v>
      </x:c>
      <x:c r="C167" s="14" t="s">
        <x:v>143</x:v>
      </x:c>
      <x:c r="D167" s="1">
        <x:v>1</x:v>
      </x:c>
      <x:c r="E167" s="14" t="s">
        <x:v>22</x:v>
      </x:c>
      <x:c r="F167" s="1" t="s">
        <x:v>289</x:v>
      </x:c>
      <x:c r="G167" s="6">
        <x:v>1</x:v>
      </x:c>
      <x:c r="H167" s="1">
        <x:f>I19*D167</x:f>
        <x:v>0</x:v>
      </x:c>
      <x:c r="I167" s="1"/>
      <x:c r="J167" s="1"/>
      <x:c r="K167" s="22">
        <x:f>G167+J167-H167-I167</x:f>
        <x:v>1</x:v>
      </x:c>
      <x:c r="L167" s="19">
        <x:f>K167/D167</x:f>
        <x:v>1</x:v>
      </x:c>
      <x:c r="M167" s="25">
        <x:f>IF(L167&lt;=10,119,"")</x:f>
        <x:v>119</x:v>
      </x:c>
    </x:row>
    <x:row r="168" spans="1:13" customFormat="1" ht="18" customHeight="1">
      <x:c r="A168" s="9" t="s">
        <x:v>176</x:v>
      </x:c>
      <x:c r="B168" s="15" t="s">
        <x:v>149</x:v>
      </x:c>
      <x:c r="C168" s="14" t="s">
        <x:v>143</x:v>
      </x:c>
      <x:c r="D168" s="1">
        <x:v>1</x:v>
      </x:c>
      <x:c r="E168" s="14" t="s">
        <x:v>22</x:v>
      </x:c>
      <x:c r="F168" s="6" t="s">
        <x:v>162</x:v>
      </x:c>
      <x:c r="G168" s="6">
        <x:v>1</x:v>
      </x:c>
      <x:c r="H168" s="1">
        <x:f>I19*D168</x:f>
        <x:v>0</x:v>
      </x:c>
      <x:c r="I168" s="1"/>
      <x:c r="J168" s="1"/>
      <x:c r="K168" s="22">
        <x:f>G168+J168-H168-I168</x:f>
        <x:v>1</x:v>
      </x:c>
      <x:c r="L168" s="19">
        <x:f>K168/D168</x:f>
        <x:v>1</x:v>
      </x:c>
      <x:c r="M168" s="25">
        <x:f>IF(L168&lt;=10,119,"")</x:f>
        <x:v>119</x:v>
      </x:c>
    </x:row>
    <x:row r="169" spans="1:13" customFormat="1" ht="18" customHeight="1">
      <x:c r="A169" s="9" t="s">
        <x:v>176</x:v>
      </x:c>
      <x:c r="B169" s="15" t="s">
        <x:v>149</x:v>
      </x:c>
      <x:c r="C169" s="14" t="s">
        <x:v>143</x:v>
      </x:c>
      <x:c r="D169" s="1">
        <x:v>1</x:v>
      </x:c>
      <x:c r="E169" s="14" t="s">
        <x:v>96</x:v>
      </x:c>
      <x:c r="F169" s="1" t="s">
        <x:v>289</x:v>
      </x:c>
      <x:c r="G169" s="6">
        <x:v>2</x:v>
      </x:c>
      <x:c r="H169" s="1">
        <x:f>I20*D169</x:f>
        <x:v>0</x:v>
      </x:c>
      <x:c r="I169" s="1"/>
      <x:c r="J169" s="1"/>
      <x:c r="K169" s="22">
        <x:f>G169+J169-H169-I169</x:f>
        <x:v>2</x:v>
      </x:c>
      <x:c r="L169" s="19">
        <x:f>K169/D169</x:f>
        <x:v>2</x:v>
      </x:c>
      <x:c r="M169" s="25">
        <x:f>IF(L169&lt;=10,119,"")</x:f>
        <x:v>119</x:v>
      </x:c>
    </x:row>
    <x:row r="170" spans="1:13" customFormat="1" ht="18" customHeight="1">
      <x:c r="A170" s="9" t="s">
        <x:v>176</x:v>
      </x:c>
      <x:c r="B170" s="15" t="s">
        <x:v>149</x:v>
      </x:c>
      <x:c r="C170" s="14" t="s">
        <x:v>143</x:v>
      </x:c>
      <x:c r="D170" s="1">
        <x:v>1</x:v>
      </x:c>
      <x:c r="E170" s="14" t="s">
        <x:v>96</x:v>
      </x:c>
      <x:c r="F170" s="6" t="s">
        <x:v>162</x:v>
      </x:c>
      <x:c r="G170" s="6">
        <x:v>2</x:v>
      </x:c>
      <x:c r="H170" s="1">
        <x:f>I20*D170</x:f>
        <x:v>0</x:v>
      </x:c>
      <x:c r="I170" s="1"/>
      <x:c r="J170" s="1"/>
      <x:c r="K170" s="22">
        <x:f>G170+J170-H170-I170</x:f>
        <x:v>2</x:v>
      </x:c>
      <x:c r="L170" s="19">
        <x:f>K170/D170</x:f>
        <x:v>2</x:v>
      </x:c>
      <x:c r="M170" s="25">
        <x:f>IF(L170&lt;=10,119,"")</x:f>
        <x:v>119</x:v>
      </x:c>
    </x:row>
    <x:row r="171" spans="1:13" customFormat="1" ht="18" customHeight="1">
      <x:c r="A171" s="9" t="s">
        <x:v>176</x:v>
      </x:c>
      <x:c r="B171" s="15" t="s">
        <x:v>149</x:v>
      </x:c>
      <x:c r="C171" s="14" t="s">
        <x:v>137</x:v>
      </x:c>
      <x:c r="D171" s="1">
        <x:v>1</x:v>
      </x:c>
      <x:c r="E171" s="14" t="s">
        <x:v>83</x:v>
      </x:c>
      <x:c r="F171" s="1" t="s">
        <x:v>289</x:v>
      </x:c>
      <x:c r="G171" s="7">
        <x:f>'2026.9.4'!J106</x:f>
        <x:v>0</x:v>
      </x:c>
      <x:c r="H171" s="1">
        <x:f>K5</x:f>
        <x:v>0</x:v>
      </x:c>
      <x:c r="I171" s="1"/>
      <x:c r="J171" s="1"/>
      <x:c r="K171" s="22">
        <x:f>G171+J171-H171-I171</x:f>
        <x:v>0</x:v>
      </x:c>
      <x:c r="L171" s="19">
        <x:f>K171/D171</x:f>
        <x:v>0</x:v>
      </x:c>
      <x:c r="M171" s="25">
        <x:f>IF(L171&lt;=10,119,"")</x:f>
        <x:v>119</x:v>
      </x:c>
    </x:row>
    <x:row r="172" spans="1:13" customFormat="1" ht="18" customHeight="1">
      <x:c r="A172" s="9" t="s">
        <x:v>176</x:v>
      </x:c>
      <x:c r="B172" s="15" t="s">
        <x:v>149</x:v>
      </x:c>
      <x:c r="C172" s="14" t="s">
        <x:v>137</x:v>
      </x:c>
      <x:c r="D172" s="1">
        <x:v>1</x:v>
      </x:c>
      <x:c r="E172" s="14" t="s">
        <x:v>83</x:v>
      </x:c>
      <x:c r="F172" s="6" t="s">
        <x:v>162</x:v>
      </x:c>
      <x:c r="G172" s="7">
        <x:f>'2026.9.4'!J107</x:f>
        <x:v>0</x:v>
      </x:c>
      <x:c r="H172" s="1">
        <x:f>K5</x:f>
        <x:v>0</x:v>
      </x:c>
      <x:c r="I172" s="1"/>
      <x:c r="J172" s="1"/>
      <x:c r="K172" s="22">
        <x:f>G172+J172-H172-I172</x:f>
        <x:v>0</x:v>
      </x:c>
      <x:c r="L172" s="19">
        <x:f>K172/D172</x:f>
        <x:v>0</x:v>
      </x:c>
      <x:c r="M172" s="25">
        <x:f>IF(L172&lt;=10,119,"")</x:f>
        <x:v>119</x:v>
      </x:c>
    </x:row>
    <x:row r="173" spans="1:13" customFormat="1" ht="18" customHeight="1">
      <x:c r="A173" s="9" t="s">
        <x:v>176</x:v>
      </x:c>
      <x:c r="B173" s="15" t="s">
        <x:v>149</x:v>
      </x:c>
      <x:c r="C173" s="14" t="s">
        <x:v>137</x:v>
      </x:c>
      <x:c r="D173" s="1">
        <x:v>1</x:v>
      </x:c>
      <x:c r="E173" s="14" t="s">
        <x:v>41</x:v>
      </x:c>
      <x:c r="F173" s="1" t="s">
        <x:v>289</x:v>
      </x:c>
      <x:c r="G173" s="7">
        <x:f>'2026.9.4'!J108</x:f>
        <x:v>0</x:v>
      </x:c>
      <x:c r="H173" s="1">
        <x:f>K6</x:f>
        <x:v>0</x:v>
      </x:c>
      <x:c r="I173" s="1"/>
      <x:c r="J173" s="1"/>
      <x:c r="K173" s="22">
        <x:f>G173+J173-H173-I173</x:f>
        <x:v>0</x:v>
      </x:c>
      <x:c r="L173" s="19">
        <x:f>K173/D173</x:f>
        <x:v>0</x:v>
      </x:c>
      <x:c r="M173" s="25">
        <x:f>IF(L173&lt;=10,119,"")</x:f>
        <x:v>119</x:v>
      </x:c>
    </x:row>
    <x:row r="174" spans="1:13" customFormat="1" ht="18" customHeight="1">
      <x:c r="A174" s="9" t="s">
        <x:v>176</x:v>
      </x:c>
      <x:c r="B174" s="15" t="s">
        <x:v>149</x:v>
      </x:c>
      <x:c r="C174" s="14" t="s">
        <x:v>137</x:v>
      </x:c>
      <x:c r="D174" s="1">
        <x:v>1</x:v>
      </x:c>
      <x:c r="E174" s="14" t="s">
        <x:v>41</x:v>
      </x:c>
      <x:c r="F174" s="6" t="s">
        <x:v>162</x:v>
      </x:c>
      <x:c r="G174" s="7">
        <x:f>'2026.9.4'!J109</x:f>
        <x:v>0</x:v>
      </x:c>
      <x:c r="H174" s="1">
        <x:f>K6</x:f>
        <x:v>0</x:v>
      </x:c>
      <x:c r="I174" s="1"/>
      <x:c r="J174" s="1"/>
      <x:c r="K174" s="22">
        <x:f>G174+J174-H174-I174</x:f>
        <x:v>0</x:v>
      </x:c>
      <x:c r="L174" s="19">
        <x:f>K174/D174</x:f>
        <x:v>0</x:v>
      </x:c>
      <x:c r="M174" s="25">
        <x:f>IF(L174&lt;=10,119,"")</x:f>
        <x:v>119</x:v>
      </x:c>
    </x:row>
    <x:row r="175" spans="1:13" customFormat="1" ht="18" customHeight="1">
      <x:c r="A175" s="9" t="s">
        <x:v>176</x:v>
      </x:c>
      <x:c r="B175" s="15" t="s">
        <x:v>149</x:v>
      </x:c>
      <x:c r="C175" s="14" t="s">
        <x:v>143</x:v>
      </x:c>
      <x:c r="D175" s="1">
        <x:v>1</x:v>
      </x:c>
      <x:c r="E175" s="14" t="s">
        <x:v>47</x:v>
      </x:c>
      <x:c r="F175" s="1" t="s">
        <x:v>289</x:v>
      </x:c>
      <x:c r="G175" s="7">
        <x:f>'2026.9.4'!J110</x:f>
        <x:v>9</x:v>
      </x:c>
      <x:c r="H175" s="1">
        <x:f>K7</x:f>
        <x:v>0</x:v>
      </x:c>
      <x:c r="I175" s="1"/>
      <x:c r="J175" s="1"/>
      <x:c r="K175" s="22">
        <x:f>G175+J175-H175-I175</x:f>
        <x:v>9</x:v>
      </x:c>
      <x:c r="L175" s="19">
        <x:f>K175/D175</x:f>
        <x:v>9</x:v>
      </x:c>
      <x:c r="M175" s="25">
        <x:f>IF(L175&lt;=10,119,"")</x:f>
        <x:v>119</x:v>
      </x:c>
    </x:row>
    <x:row r="176" spans="1:13" customFormat="1" ht="18" customHeight="1">
      <x:c r="A176" s="9" t="s">
        <x:v>176</x:v>
      </x:c>
      <x:c r="B176" s="15" t="s">
        <x:v>149</x:v>
      </x:c>
      <x:c r="C176" s="14" t="s">
        <x:v>143</x:v>
      </x:c>
      <x:c r="D176" s="1">
        <x:v>1</x:v>
      </x:c>
      <x:c r="E176" s="14" t="s">
        <x:v>47</x:v>
      </x:c>
      <x:c r="F176" s="6" t="s">
        <x:v>162</x:v>
      </x:c>
      <x:c r="G176" s="7">
        <x:f>'2026.9.4'!J111</x:f>
        <x:v>9</x:v>
      </x:c>
      <x:c r="H176" s="1">
        <x:f>K7</x:f>
        <x:v>0</x:v>
      </x:c>
      <x:c r="I176" s="1"/>
      <x:c r="J176" s="1"/>
      <x:c r="K176" s="22">
        <x:f>G176+J176-H176-I176</x:f>
        <x:v>9</x:v>
      </x:c>
      <x:c r="L176" s="19">
        <x:f>K176/D176</x:f>
        <x:v>9</x:v>
      </x:c>
      <x:c r="M176" s="25">
        <x:f>IF(L176&lt;=10,119,"")</x:f>
        <x:v>119</x:v>
      </x:c>
    </x:row>
    <x:row r="177" spans="1:13" customFormat="1" ht="18" customHeight="1">
      <x:c r="A177" s="9" t="s">
        <x:v>176</x:v>
      </x:c>
      <x:c r="B177" s="15" t="s">
        <x:v>149</x:v>
      </x:c>
      <x:c r="C177" s="14" t="s">
        <x:v>143</x:v>
      </x:c>
      <x:c r="D177" s="1">
        <x:v>1</x:v>
      </x:c>
      <x:c r="E177" s="14" t="s">
        <x:v>73</x:v>
      </x:c>
      <x:c r="F177" s="1" t="s">
        <x:v>289</x:v>
      </x:c>
      <x:c r="G177" s="7">
        <x:f>'2026.9.4'!J112</x:f>
        <x:v>5</x:v>
      </x:c>
      <x:c r="H177" s="1">
        <x:f>K8</x:f>
        <x:v>0</x:v>
      </x:c>
      <x:c r="I177" s="1"/>
      <x:c r="J177" s="1"/>
      <x:c r="K177" s="22">
        <x:f>G177+J177-H177-I177</x:f>
        <x:v>5</x:v>
      </x:c>
      <x:c r="L177" s="19">
        <x:f>K177/D177</x:f>
        <x:v>5</x:v>
      </x:c>
      <x:c r="M177" s="25">
        <x:f>IF(L177&lt;=10,119,"")</x:f>
        <x:v>119</x:v>
      </x:c>
    </x:row>
    <x:row r="178" spans="1:13" customFormat="1" ht="18" customHeight="1">
      <x:c r="A178" s="9" t="s">
        <x:v>176</x:v>
      </x:c>
      <x:c r="B178" s="15" t="s">
        <x:v>149</x:v>
      </x:c>
      <x:c r="C178" s="14" t="s">
        <x:v>143</x:v>
      </x:c>
      <x:c r="D178" s="1">
        <x:v>1</x:v>
      </x:c>
      <x:c r="E178" s="14" t="s">
        <x:v>73</x:v>
      </x:c>
      <x:c r="F178" s="6" t="s">
        <x:v>162</x:v>
      </x:c>
      <x:c r="G178" s="7">
        <x:f>'2026.9.4'!J113</x:f>
        <x:v>5</x:v>
      </x:c>
      <x:c r="H178" s="1">
        <x:f>K8</x:f>
        <x:v>0</x:v>
      </x:c>
      <x:c r="I178" s="1"/>
      <x:c r="J178" s="1"/>
      <x:c r="K178" s="22">
        <x:f>G178+J178-H178-I178</x:f>
        <x:v>5</x:v>
      </x:c>
      <x:c r="L178" s="19">
        <x:f>K178/D178</x:f>
        <x:v>5</x:v>
      </x:c>
      <x:c r="M178" s="25">
        <x:f>IF(L178&lt;=10,119,"")</x:f>
        <x:v>119</x:v>
      </x:c>
    </x:row>
    <x:row r="179" spans="1:13" customFormat="1" ht="18" customHeight="1">
      <x:c r="A179" s="9" t="s">
        <x:v>176</x:v>
      </x:c>
      <x:c r="B179" s="15" t="s">
        <x:v>180</x:v>
      </x:c>
      <x:c r="C179" s="14" t="s">
        <x:v>143</x:v>
      </x:c>
      <x:c r="D179" s="1">
        <x:v>1</x:v>
      </x:c>
      <x:c r="E179" s="14" t="s">
        <x:v>22</x:v>
      </x:c>
      <x:c r="F179" s="6"/>
      <x:c r="G179" s="6">
        <x:v>1</x:v>
      </x:c>
      <x:c r="H179" s="1">
        <x:f>I19*D179</x:f>
        <x:v>0</x:v>
      </x:c>
      <x:c r="I179" s="1"/>
      <x:c r="J179" s="1"/>
      <x:c r="K179" s="22">
        <x:f>G179+J179-H179-I179</x:f>
        <x:v>1</x:v>
      </x:c>
      <x:c r="L179" s="19">
        <x:f>K179/D179</x:f>
        <x:v>1</x:v>
      </x:c>
      <x:c r="M179" s="25">
        <x:f>IF(L179&lt;=10,119,"")</x:f>
        <x:v>119</x:v>
      </x:c>
    </x:row>
    <x:row r="180" spans="1:13" customFormat="1" ht="18" customHeight="1">
      <x:c r="A180" s="9" t="s">
        <x:v>176</x:v>
      </x:c>
      <x:c r="B180" s="15" t="s">
        <x:v>180</x:v>
      </x:c>
      <x:c r="C180" s="14" t="s">
        <x:v>143</x:v>
      </x:c>
      <x:c r="D180" s="1">
        <x:v>1</x:v>
      </x:c>
      <x:c r="E180" s="14" t="s">
        <x:v>96</x:v>
      </x:c>
      <x:c r="F180" s="6"/>
      <x:c r="G180" s="6">
        <x:v>2</x:v>
      </x:c>
      <x:c r="H180" s="1">
        <x:f>I20*D180</x:f>
        <x:v>0</x:v>
      </x:c>
      <x:c r="I180" s="1"/>
      <x:c r="J180" s="1"/>
      <x:c r="K180" s="22">
        <x:f>G180+J180-H180-I180</x:f>
        <x:v>2</x:v>
      </x:c>
      <x:c r="L180" s="19">
        <x:f>K180/D180</x:f>
        <x:v>2</x:v>
      </x:c>
      <x:c r="M180" s="25">
        <x:f>IF(L180&lt;=10,119,"")</x:f>
        <x:v>119</x:v>
      </x:c>
    </x:row>
    <x:row r="181" spans="1:13" customHeight="1">
      <x:c r="A181" s="9" t="s">
        <x:v>176</x:v>
      </x:c>
      <x:c r="B181" s="15" t="s">
        <x:v>163</x:v>
      </x:c>
      <x:c r="C181" s="14" t="s">
        <x:v>143</x:v>
      </x:c>
      <x:c r="D181" s="2">
        <x:v>16</x:v>
      </x:c>
      <x:c r="E181" s="9" t="s">
        <x:v>241</x:v>
      </x:c>
      <x:c r="F181" s="24" t="s">
        <x:v>35</x:v>
      </x:c>
      <x:c r="G181" s="7">
        <x:f>'2026.9.4'!J114</x:f>
        <x:v>916</x:v>
      </x:c>
      <x:c r="H181" s="1">
        <x:f>SUM(I5:I12)*16+SUM(I13:I15)*8</x:f>
        <x:v>0</x:v>
      </x:c>
      <x:c r="K181" s="22">
        <x:f>G181+J181-H181-I181</x:f>
        <x:v>916</x:v>
      </x:c>
      <x:c r="L181" s="19">
        <x:f>K181/D181</x:f>
        <x:v>57.25</x:v>
      </x:c>
      <x:c r="M181" s="25" t="str">
        <x:f>IF(L181&lt;=10,119,"")</x:f>
        <x:v/>
      </x:c>
    </x:row>
    <x:row r="182" spans="1:13">
      <x:c r="A182" s="9" t="s">
        <x:v>176</x:v>
      </x:c>
      <x:c r="B182" s="15" t="s">
        <x:v>163</x:v>
      </x:c>
      <x:c r="C182" s="14" t="s">
        <x:v>143</x:v>
      </x:c>
      <x:c r="D182" s="2">
        <x:v>8</x:v>
      </x:c>
      <x:c r="E182" s="9" t="s">
        <x:v>241</x:v>
      </x:c>
      <x:c r="F182" s="1" t="s">
        <x:v>54</x:v>
      </x:c>
      <x:c r="G182" s="7">
        <x:f>'2026.9.4'!J115</x:f>
        <x:v>1190</x:v>
      </x:c>
      <x:c r="H182" s="1">
        <x:f>SUM(I5:I12)*8+SUM(I13:I15)*8</x:f>
        <x:v>0</x:v>
      </x:c>
      <x:c r="K182" s="22">
        <x:f>G182+J182-H182-I182</x:f>
        <x:v>1190</x:v>
      </x:c>
      <x:c r="L182" s="19">
        <x:f>K182/D182</x:f>
        <x:v>148.75</x:v>
      </x:c>
      <x:c r="M182" s="25" t="str">
        <x:f>IF(L182&lt;=10,119,"")</x:f>
        <x:v/>
      </x:c>
    </x:row>
    <x:row r="183" spans="1:13">
      <x:c r="A183" s="9" t="s">
        <x:v>176</x:v>
      </x:c>
      <x:c r="B183" s="15" t="s">
        <x:v>163</x:v>
      </x:c>
      <x:c r="C183" s="14" t="s">
        <x:v>143</x:v>
      </x:c>
      <x:c r="D183" s="2">
        <x:v>8</x:v>
      </x:c>
      <x:c r="E183" s="9" t="s">
        <x:v>70</x:v>
      </x:c>
      <x:c r="F183" s="1" t="s">
        <x:v>20</x:v>
      </x:c>
      <x:c r="G183" s="7">
        <x:f>'2026.9.4'!J116</x:f>
        <x:v>740</x:v>
      </x:c>
      <x:c r="H183" s="1">
        <x:f>SUM(I16)*D183</x:f>
        <x:v>0</x:v>
      </x:c>
      <x:c r="K183" s="22">
        <x:f>G183+J183-H183-I183</x:f>
        <x:v>740</x:v>
      </x:c>
      <x:c r="L183" s="19">
        <x:f>K183/D183</x:f>
        <x:v>92.5</x:v>
      </x:c>
      <x:c r="M183" s="25" t="str">
        <x:f>IF(L183&lt;=10,119,"")</x:f>
        <x:v/>
      </x:c>
    </x:row>
    <x:row r="184" spans="1:13">
      <x:c r="A184" s="9" t="s">
        <x:v>176</x:v>
      </x:c>
      <x:c r="B184" s="15" t="s">
        <x:v>163</x:v>
      </x:c>
      <x:c r="C184" s="14" t="s">
        <x:v>143</x:v>
      </x:c>
      <x:c r="D184" s="2">
        <x:v>8</x:v>
      </x:c>
      <x:c r="E184" s="9" t="s">
        <x:v>239</x:v>
      </x:c>
      <x:c r="F184" s="1" t="s">
        <x:v>58</x:v>
      </x:c>
      <x:c r="G184" s="7">
        <x:f>'2026.9.4'!J117</x:f>
        <x:v>130</x:v>
      </x:c>
      <x:c r="H184" s="1">
        <x:f>SUM(I13:I15)*D184</x:f>
        <x:v>0</x:v>
      </x:c>
      <x:c r="K184" s="22">
        <x:f>G184+J184-H184-I184</x:f>
        <x:v>130</x:v>
      </x:c>
      <x:c r="L184" s="19">
        <x:f>K184/D184</x:f>
        <x:v>16.25</x:v>
      </x:c>
      <x:c r="M184" s="25" t="str">
        <x:f>IF(L184&lt;=10,119,"")</x:f>
        <x:v/>
      </x:c>
    </x:row>
    <x:row r="185" spans="1:13">
      <x:c r="A185" s="9" t="s">
        <x:v>176</x:v>
      </x:c>
      <x:c r="B185" s="15" t="s">
        <x:v>163</x:v>
      </x:c>
      <x:c r="C185" s="14" t="s">
        <x:v>143</x:v>
      </x:c>
      <x:c r="D185" s="2">
        <x:v>8</x:v>
      </x:c>
      <x:c r="E185" s="9" t="s">
        <x:v>70</x:v>
      </x:c>
      <x:c r="F185" s="1" t="s">
        <x:v>77</x:v>
      </x:c>
      <x:c r="G185" s="7">
        <x:f>'2026.9.4'!J118</x:f>
        <x:v>440</x:v>
      </x:c>
      <x:c r="H185" s="1">
        <x:f>I16*8</x:f>
        <x:v>0</x:v>
      </x:c>
      <x:c r="K185" s="22">
        <x:f>G185+J185-H185-I185</x:f>
        <x:v>440</x:v>
      </x:c>
      <x:c r="L185" s="19">
        <x:f>K185/D185</x:f>
        <x:v>55</x:v>
      </x:c>
      <x:c r="M185" s="25" t="str">
        <x:f>IF(L185&lt;=10,119,"")</x:f>
        <x:v/>
      </x:c>
    </x:row>
    <x:row r="186" spans="1:13">
      <x:c r="A186" s="9" t="s">
        <x:v>176</x:v>
      </x:c>
      <x:c r="B186" s="15" t="s">
        <x:v>163</x:v>
      </x:c>
      <x:c r="C186" s="14" t="s">
        <x:v>143</x:v>
      </x:c>
      <x:c r="D186" s="2">
        <x:v>8</x:v>
      </x:c>
      <x:c r="E186" s="9" t="s">
        <x:v>277</x:v>
      </x:c>
      <x:c r="F186" s="1" t="s">
        <x:v>28</x:v>
      </x:c>
      <x:c r="G186" s="7">
        <x:f>'2026.9.4'!J119</x:f>
        <x:v>449</x:v>
      </x:c>
      <x:c r="H186" s="1">
        <x:f>SUM(I16,K8)*D186</x:f>
        <x:v>0</x:v>
      </x:c>
      <x:c r="K186" s="22">
        <x:f>G186+J186-H186-I186</x:f>
        <x:v>449</x:v>
      </x:c>
      <x:c r="L186" s="19">
        <x:f>K186/D186</x:f>
        <x:v>56.125</x:v>
      </x:c>
      <x:c r="M186" s="25" t="str">
        <x:f>IF(L186&lt;=10,119,"")</x:f>
        <x:v/>
      </x:c>
    </x:row>
    <x:row r="187" spans="1:13">
      <x:c r="A187" s="9" t="s">
        <x:v>176</x:v>
      </x:c>
      <x:c r="B187" s="15" t="s">
        <x:v>163</x:v>
      </x:c>
      <x:c r="C187" s="14" t="s">
        <x:v>143</x:v>
      </x:c>
      <x:c r="D187" s="2">
        <x:v>8</x:v>
      </x:c>
      <x:c r="E187" s="9" t="s">
        <x:v>47</x:v>
      </x:c>
      <x:c r="F187" s="1" t="s">
        <x:v>46</x:v>
      </x:c>
      <x:c r="G187" s="7">
        <x:f>'2026.9.4'!J120</x:f>
        <x:v>107</x:v>
      </x:c>
      <x:c r="H187" s="1">
        <x:f>K7*D187</x:f>
        <x:v>0</x:v>
      </x:c>
      <x:c r="K187" s="22">
        <x:f>G187+J187-H187-I187</x:f>
        <x:v>107</x:v>
      </x:c>
      <x:c r="L187" s="19">
        <x:f>K187/D187</x:f>
        <x:v>13.375</x:v>
      </x:c>
      <x:c r="M187" s="25" t="str">
        <x:f>IF(L187&lt;=10,119,"")</x:f>
        <x:v/>
      </x:c>
    </x:row>
    <x:row r="188" spans="1:13">
      <x:c r="A188" s="9" t="s">
        <x:v>176</x:v>
      </x:c>
      <x:c r="B188" s="15" t="s">
        <x:v>163</x:v>
      </x:c>
      <x:c r="C188" s="14" t="s">
        <x:v>143</x:v>
      </x:c>
      <x:c r="D188" s="2">
        <x:v>4</x:v>
      </x:c>
      <x:c r="E188" s="9" t="s">
        <x:v>275</x:v>
      </x:c>
      <x:c r="F188" s="1" t="s">
        <x:v>42</x:v>
      </x:c>
      <x:c r="G188" s="7">
        <x:f>'2026.9.4'!J121</x:f>
        <x:v>122</x:v>
      </x:c>
      <x:c r="H188" s="1">
        <x:f>SUM(K7:K8)*D188</x:f>
        <x:v>0</x:v>
      </x:c>
      <x:c r="K188" s="22">
        <x:f>G188+J188-H188-I188</x:f>
        <x:v>122</x:v>
      </x:c>
      <x:c r="L188" s="19">
        <x:f>K188/D188</x:f>
        <x:v>30.5</x:v>
      </x:c>
      <x:c r="M188" s="25" t="str">
        <x:f>IF(L188&lt;=10,119,"")</x:f>
        <x:v/>
      </x:c>
    </x:row>
    <x:row r="189" spans="1:13" customHeight="1">
      <x:c r="A189" s="9" t="s">
        <x:v>176</x:v>
      </x:c>
      <x:c r="B189" s="15" t="s">
        <x:v>163</x:v>
      </x:c>
      <x:c r="C189" s="14" t="s">
        <x:v>137</x:v>
      </x:c>
      <x:c r="D189" s="2">
        <x:v>4</x:v>
      </x:c>
      <x:c r="E189" s="9" t="s">
        <x:v>83</x:v>
      </x:c>
      <x:c r="F189" s="1" t="s">
        <x:v>208</x:v>
      </x:c>
      <x:c r="G189" s="7">
        <x:f>'2026.9.4'!J122</x:f>
        <x:v>110</x:v>
      </x:c>
      <x:c r="H189" s="1">
        <x:f>K5*D189</x:f>
        <x:v>0</x:v>
      </x:c>
      <x:c r="K189" s="22">
        <x:f>G189+J189-H189-I189</x:f>
        <x:v>110</x:v>
      </x:c>
      <x:c r="L189" s="19">
        <x:f>K189/D189</x:f>
        <x:v>27.5</x:v>
      </x:c>
      <x:c r="M189" s="25" t="str">
        <x:f>IF(L189&lt;=10,119,"")</x:f>
        <x:v/>
      </x:c>
    </x:row>
    <x:row r="190" spans="1:13">
      <x:c r="A190" s="9" t="s">
        <x:v>176</x:v>
      </x:c>
      <x:c r="B190" s="15" t="s">
        <x:v>163</x:v>
      </x:c>
      <x:c r="C190" s="14" t="s">
        <x:v>137</x:v>
      </x:c>
      <x:c r="D190" s="2">
        <x:v>8</x:v>
      </x:c>
      <x:c r="E190" s="9" t="s">
        <x:v>83</x:v>
      </x:c>
      <x:c r="F190" s="1" t="s">
        <x:v>167</x:v>
      </x:c>
      <x:c r="G190" s="7">
        <x:f>'2026.9.4'!J123</x:f>
        <x:v>70</x:v>
      </x:c>
      <x:c r="H190" s="1">
        <x:f>K5*D190</x:f>
        <x:v>0</x:v>
      </x:c>
      <x:c r="K190" s="22">
        <x:f>G190+J190-H190-I190</x:f>
        <x:v>70</x:v>
      </x:c>
      <x:c r="L190" s="19">
        <x:f>K190/D190</x:f>
        <x:v>8.75</x:v>
      </x:c>
      <x:c r="M190" s="25">
        <x:f>IF(L190&lt;=10,119,"")</x:f>
        <x:v>119</x:v>
      </x:c>
    </x:row>
    <x:row r="191" spans="1:13" customFormat="1">
      <x:c r="A191" s="9" t="s">
        <x:v>176</x:v>
      </x:c>
      <x:c r="B191" s="15" t="s">
        <x:v>163</x:v>
      </x:c>
      <x:c r="C191" s="14" t="s">
        <x:v>137</x:v>
      </x:c>
      <x:c r="D191" s="2">
        <x:v>4</x:v>
      </x:c>
      <x:c r="E191" s="9" t="s">
        <x:v>41</x:v>
      </x:c>
      <x:c r="F191" s="1" t="s">
        <x:v>168</x:v>
      </x:c>
      <x:c r="G191" s="7">
        <x:f>'2026.9.4'!J124</x:f>
        <x:v>64</x:v>
      </x:c>
      <x:c r="H191" s="1">
        <x:f>K6*G191</x:f>
        <x:v>0</x:v>
      </x:c>
      <x:c r="I191" s="1"/>
      <x:c r="J191" s="1"/>
      <x:c r="K191" s="22">
        <x:f>G191+J191-H191-I191</x:f>
        <x:v>64</x:v>
      </x:c>
      <x:c r="L191" s="19">
        <x:f>K191/D191</x:f>
        <x:v>16</x:v>
      </x:c>
      <x:c r="M191" s="25" t="str">
        <x:f>IF(L191&lt;=10,119,"")</x:f>
        <x:v/>
      </x:c>
    </x:row>
    <x:row r="192" spans="1:13" customFormat="1">
      <x:c r="A192" s="9" t="s">
        <x:v>176</x:v>
      </x:c>
      <x:c r="B192" s="15" t="s">
        <x:v>163</x:v>
      </x:c>
      <x:c r="C192" s="14" t="s">
        <x:v>137</x:v>
      </x:c>
      <x:c r="D192" s="2">
        <x:v>8</x:v>
      </x:c>
      <x:c r="E192" s="9" t="s">
        <x:v>41</x:v>
      </x:c>
      <x:c r="F192" s="1" t="s">
        <x:v>139</x:v>
      </x:c>
      <x:c r="G192" s="7">
        <x:f>'2026.9.4'!J125</x:f>
        <x:v>49</x:v>
      </x:c>
      <x:c r="H192" s="1">
        <x:f>K6*D192</x:f>
        <x:v>0</x:v>
      </x:c>
      <x:c r="I192" s="1"/>
      <x:c r="J192" s="1"/>
      <x:c r="K192" s="22">
        <x:f>G192+J192-H192-I192</x:f>
        <x:v>49</x:v>
      </x:c>
      <x:c r="L192" s="19">
        <x:f>K192/D192</x:f>
        <x:v>6.125</x:v>
      </x:c>
      <x:c r="M192" s="25">
        <x:f>IF(L192&lt;=10,119,"")</x:f>
        <x:v>119</x:v>
      </x:c>
    </x:row>
    <x:row r="193" spans="1:13">
      <x:c r="A193" s="9" t="s">
        <x:v>176</x:v>
      </x:c>
      <x:c r="B193" s="11" t="s">
        <x:v>290</x:v>
      </x:c>
      <x:c r="C193" s="9" t="s">
        <x:v>143</x:v>
      </x:c>
      <x:c r="D193" s="1">
        <x:v>24</x:v>
      </x:c>
      <x:c r="E193" s="9" t="s">
        <x:v>250</x:v>
      </x:c>
      <x:c r="F193" s="1" t="s">
        <x:v>205</x:v>
      </x:c>
      <x:c r="G193" s="7">
        <x:f>'2026.9.4'!J126</x:f>
        <x:v>4000</x:v>
      </x:c>
      <x:c r="H193" s="1">
        <x:f>SUM(I5:I12)*D193</x:f>
        <x:v>0</x:v>
      </x:c>
      <x:c r="K193" s="22">
        <x:f>G193+J193-H193-I193</x:f>
        <x:v>4000</x:v>
      </x:c>
      <x:c r="L193" s="19">
        <x:f>K193/D193</x:f>
        <x:v>166.66666666666666</x:v>
      </x:c>
      <x:c r="M193" s="25" t="str">
        <x:f>IF(L193&lt;=10,119,"")</x:f>
        <x:v/>
      </x:c>
    </x:row>
    <x:row r="194" spans="1:13">
      <x:c r="A194" s="9" t="s">
        <x:v>176</x:v>
      </x:c>
      <x:c r="B194" s="11" t="s">
        <x:v>290</x:v>
      </x:c>
      <x:c r="C194" s="9" t="s">
        <x:v>143</x:v>
      </x:c>
      <x:c r="D194" s="1">
        <x:v>24</x:v>
      </x:c>
      <x:c r="E194" s="9" t="s">
        <x:v>239</x:v>
      </x:c>
      <x:c r="F194" s="1" t="s">
        <x:v>178</x:v>
      </x:c>
      <x:c r="G194" s="7">
        <x:f>'2026.9.4'!J127</x:f>
        <x:v>640</x:v>
      </x:c>
      <x:c r="H194" s="1">
        <x:f>SUM(I13:I15)*D194</x:f>
        <x:v>0</x:v>
      </x:c>
      <x:c r="K194" s="22">
        <x:f>G194+J194-H194-I194</x:f>
        <x:v>640</x:v>
      </x:c>
      <x:c r="L194" s="19">
        <x:f>K194/D194</x:f>
        <x:v>26.666666666666668</x:v>
      </x:c>
      <x:c r="M194" s="25" t="str">
        <x:f>IF(L194&lt;=10,119,"")</x:f>
        <x:v/>
      </x:c>
    </x:row>
    <x:row r="195" spans="1:13">
      <x:c r="A195" s="9" t="s">
        <x:v>176</x:v>
      </x:c>
      <x:c r="B195" s="11" t="s">
        <x:v>290</x:v>
      </x:c>
      <x:c r="C195" s="9" t="s">
        <x:v>143</x:v>
      </x:c>
      <x:c r="D195" s="1">
        <x:v>24</x:v>
      </x:c>
      <x:c r="E195" s="9" t="s">
        <x:v>233</x:v>
      </x:c>
      <x:c r="F195" s="1" t="s">
        <x:v>222</x:v>
      </x:c>
      <x:c r="G195" s="7">
        <x:f>'2026.9.4'!J128</x:f>
        <x:v>2100</x:v>
      </x:c>
      <x:c r="H195" s="1">
        <x:f>SUM(I5:I12)*24+SUM(I13:I15)*16+I16*12</x:f>
        <x:v>0</x:v>
      </x:c>
      <x:c r="K195" s="22">
        <x:f>G195+J195-H195-I195</x:f>
        <x:v>2100</x:v>
      </x:c>
      <x:c r="L195" s="19">
        <x:f>K195/D195</x:f>
        <x:v>87.5</x:v>
      </x:c>
      <x:c r="M195" s="25" t="str">
        <x:f>IF(L195&lt;=10,119,"")</x:f>
        <x:v/>
      </x:c>
    </x:row>
    <x:row r="196" spans="1:13">
      <x:c r="A196" s="9" t="s">
        <x:v>176</x:v>
      </x:c>
      <x:c r="B196" s="11" t="s">
        <x:v>290</x:v>
      </x:c>
      <x:c r="C196" s="9" t="s">
        <x:v>143</x:v>
      </x:c>
      <x:c r="D196" s="1">
        <x:v>16</x:v>
      </x:c>
      <x:c r="E196" s="9" t="s">
        <x:v>248</x:v>
      </x:c>
      <x:c r="F196" s="1" t="s">
        <x:v>169</x:v>
      </x:c>
      <x:c r="G196" s="7">
        <x:f>'2026.9.4'!J129</x:f>
        <x:v>1150</x:v>
      </x:c>
      <x:c r="H196" s="1">
        <x:f>SUM(I13:I15)*8+(I16*16)</x:f>
        <x:v>0</x:v>
      </x:c>
      <x:c r="K196" s="22">
        <x:f>G196+J196-H196-I196</x:f>
        <x:v>1150</x:v>
      </x:c>
      <x:c r="L196" s="19">
        <x:f>K196/D196</x:f>
        <x:v>71.875</x:v>
      </x:c>
      <x:c r="M196" s="25" t="str">
        <x:f>IF(L196&lt;=10,119,"")</x:f>
        <x:v/>
      </x:c>
    </x:row>
    <x:row r="197" spans="1:13">
      <x:c r="A197" s="9" t="s">
        <x:v>176</x:v>
      </x:c>
      <x:c r="B197" s="11" t="s">
        <x:v>290</x:v>
      </x:c>
      <x:c r="C197" s="9" t="s">
        <x:v>143</x:v>
      </x:c>
      <x:c r="D197" s="1">
        <x:v>8</x:v>
      </x:c>
      <x:c r="E197" s="9" t="s">
        <x:v>70</x:v>
      </x:c>
      <x:c r="F197" s="1" t="s">
        <x:v>188</x:v>
      </x:c>
      <x:c r="G197" s="7">
        <x:f>'2026.9.4'!J130</x:f>
        <x:v>900</x:v>
      </x:c>
      <x:c r="H197" s="1">
        <x:f>I16*D197</x:f>
        <x:v>0</x:v>
      </x:c>
      <x:c r="K197" s="22">
        <x:f>G197+J197-H197-I197</x:f>
        <x:v>900</x:v>
      </x:c>
      <x:c r="L197" s="19">
        <x:f>K197/D197</x:f>
        <x:v>112.5</x:v>
      </x:c>
      <x:c r="M197" s="25" t="str">
        <x:f>IF(L197&lt;=10,119,"")</x:f>
        <x:v/>
      </x:c>
    </x:row>
    <x:row r="198" spans="1:13">
      <x:c r="A198" s="9" t="s">
        <x:v>176</x:v>
      </x:c>
      <x:c r="B198" s="11" t="s">
        <x:v>290</x:v>
      </x:c>
      <x:c r="C198" s="9" t="s">
        <x:v>143</x:v>
      </x:c>
      <x:c r="D198" s="1">
        <x:v>12</x:v>
      </x:c>
      <x:c r="E198" s="9" t="s">
        <x:v>275</x:v>
      </x:c>
      <x:c r="F198" s="1" t="s">
        <x:v>187</x:v>
      </x:c>
      <x:c r="G198" s="7">
        <x:f>'2026.9.4'!J131</x:f>
        <x:v>316</x:v>
      </x:c>
      <x:c r="H198" s="1">
        <x:f>SUM(K7:K8)*D198</x:f>
        <x:v>0</x:v>
      </x:c>
      <x:c r="K198" s="22">
        <x:f>G198+J198-H198-I198</x:f>
        <x:v>316</x:v>
      </x:c>
      <x:c r="L198" s="19">
        <x:f>K198/D198</x:f>
        <x:v>26.333333333333332</x:v>
      </x:c>
      <x:c r="M198" s="25" t="str">
        <x:f>IF(L198&lt;=10,119,"")</x:f>
        <x:v/>
      </x:c>
    </x:row>
    <x:row r="199" spans="1:13">
      <x:c r="A199" s="9" t="s">
        <x:v>176</x:v>
      </x:c>
      <x:c r="B199" s="11" t="s">
        <x:v>290</x:v>
      </x:c>
      <x:c r="C199" s="9" t="s">
        <x:v>137</x:v>
      </x:c>
      <x:c r="D199" s="1">
        <x:v>12</x:v>
      </x:c>
      <x:c r="E199" s="9" t="s">
        <x:v>83</x:v>
      </x:c>
      <x:c r="F199" s="1" t="s">
        <x:v>169</x:v>
      </x:c>
      <x:c r="G199" s="7">
        <x:f>'2026.9.4'!J132</x:f>
        <x:v>320</x:v>
      </x:c>
      <x:c r="H199" s="1">
        <x:f>K5*D199</x:f>
        <x:v>0</x:v>
      </x:c>
      <x:c r="K199" s="22">
        <x:f>G199+J199-H199-I199</x:f>
        <x:v>320</x:v>
      </x:c>
      <x:c r="L199" s="19">
        <x:f>K199/D199</x:f>
        <x:v>26.666666666666668</x:v>
      </x:c>
      <x:c r="M199" s="25" t="str">
        <x:f>IF(L199&lt;=10,119,"")</x:f>
        <x:v/>
      </x:c>
    </x:row>
    <x:row r="200" spans="1:13">
      <x:c r="A200" s="9" t="s">
        <x:v>176</x:v>
      </x:c>
      <x:c r="B200" s="11" t="s">
        <x:v>290</x:v>
      </x:c>
      <x:c r="C200" s="9" t="s">
        <x:v>137</x:v>
      </x:c>
      <x:c r="D200" s="1">
        <x:v>12</x:v>
      </x:c>
      <x:c r="E200" s="9" t="s">
        <x:v>41</x:v>
      </x:c>
      <x:c r="F200" s="1" t="s">
        <x:v>187</x:v>
      </x:c>
      <x:c r="G200" s="7">
        <x:f>'2026.9.4'!J133</x:f>
        <x:v>120</x:v>
      </x:c>
      <x:c r="H200" s="1">
        <x:f>K6*D200</x:f>
        <x:v>0</x:v>
      </x:c>
      <x:c r="K200" s="22">
        <x:f>G200+J200-H200-I200</x:f>
        <x:v>120</x:v>
      </x:c>
      <x:c r="L200" s="19">
        <x:f>K200/D200</x:f>
        <x:v>10</x:v>
      </x:c>
      <x:c r="M200" s="25">
        <x:f>IF(L200&lt;=10,119,"")</x:f>
        <x:v>119</x:v>
      </x:c>
    </x:row>
    <x:row r="201" spans="1:13">
      <x:c r="A201" s="9" t="s">
        <x:v>176</x:v>
      </x:c>
      <x:c r="B201" s="11" t="s">
        <x:v>231</x:v>
      </x:c>
      <x:c r="C201" s="9" t="s">
        <x:v>143</x:v>
      </x:c>
      <x:c r="D201" s="1">
        <x:v>8</x:v>
      </x:c>
      <x:c r="E201" s="9" t="s">
        <x:v>250</x:v>
      </x:c>
      <x:c r="F201" s="1" t="s">
        <x:v>134</x:v>
      </x:c>
      <x:c r="G201" s="7">
        <x:f>'2026.9.4'!J134</x:f>
        <x:v>2400</x:v>
      </x:c>
      <x:c r="H201" s="1">
        <x:f>SUM(I5:I12)*D201</x:f>
        <x:v>0</x:v>
      </x:c>
      <x:c r="K201" s="22">
        <x:f>G201+J201-H201-I201</x:f>
        <x:v>2400</x:v>
      </x:c>
      <x:c r="L201" s="19">
        <x:f>K201/D201</x:f>
        <x:v>300</x:v>
      </x:c>
      <x:c r="M201" s="25" t="str">
        <x:f>IF(L201&lt;=10,119,"")</x:f>
        <x:v/>
      </x:c>
    </x:row>
    <x:row r="202" spans="1:13">
      <x:c r="A202" s="9" t="s">
        <x:v>176</x:v>
      </x:c>
      <x:c r="B202" s="11" t="s">
        <x:v>231</x:v>
      </x:c>
      <x:c r="C202" s="9" t="s">
        <x:v>143</x:v>
      </x:c>
      <x:c r="D202" s="1">
        <x:v>4</x:v>
      </x:c>
      <x:c r="E202" s="9" t="s">
        <x:v>239</x:v>
      </x:c>
      <x:c r="F202" s="1" t="s">
        <x:v>135</x:v>
      </x:c>
      <x:c r="G202" s="7">
        <x:f>'2026.9.4'!J135</x:f>
        <x:v>1000</x:v>
      </x:c>
      <x:c r="H202" s="1">
        <x:f>SUM(I13:I15)*D202</x:f>
        <x:v>0</x:v>
      </x:c>
      <x:c r="K202" s="22">
        <x:f>G202+J202-H202-I202</x:f>
        <x:v>1000</x:v>
      </x:c>
      <x:c r="L202" s="19">
        <x:f>K202/D202</x:f>
        <x:v>250</x:v>
      </x:c>
      <x:c r="M202" s="25" t="str">
        <x:f>IF(L202&lt;=10,119,"")</x:f>
        <x:v/>
      </x:c>
    </x:row>
    <x:row r="203" spans="1:13">
      <x:c r="A203" s="9" t="s">
        <x:v>176</x:v>
      </x:c>
      <x:c r="B203" s="11" t="s">
        <x:v>231</x:v>
      </x:c>
      <x:c r="C203" s="9" t="s">
        <x:v>143</x:v>
      </x:c>
      <x:c r="D203" s="1">
        <x:v>24</x:v>
      </x:c>
      <x:c r="E203" s="9" t="s">
        <x:v>233</x:v>
      </x:c>
      <x:c r="F203" s="1" t="s">
        <x:v>158</x:v>
      </x:c>
      <x:c r="G203" s="7">
        <x:f>'2026.9.4'!J136</x:f>
        <x:v>2200</x:v>
      </x:c>
      <x:c r="H203" s="1">
        <x:f>SUM(I5:I12)*24+SUM(I13:I15)*16+SUM(I16)*4</x:f>
        <x:v>0</x:v>
      </x:c>
      <x:c r="K203" s="22">
        <x:f>G203+J203-H203-I203</x:f>
        <x:v>2200</x:v>
      </x:c>
      <x:c r="L203" s="19">
        <x:f>K203/D203</x:f>
        <x:v>91.666666666666671</x:v>
      </x:c>
      <x:c r="M203" s="25" t="str">
        <x:f>IF(L203&lt;=10,119,"")</x:f>
        <x:v/>
      </x:c>
    </x:row>
    <x:row r="204" spans="1:13">
      <x:c r="A204" s="9" t="s">
        <x:v>176</x:v>
      </x:c>
      <x:c r="B204" s="11" t="s">
        <x:v>231</x:v>
      </x:c>
      <x:c r="C204" s="9" t="s">
        <x:v>143</x:v>
      </x:c>
      <x:c r="D204" s="1">
        <x:v>18</x:v>
      </x:c>
      <x:c r="E204" s="9" t="s">
        <x:v>248</x:v>
      </x:c>
      <x:c r="F204" s="1" t="s">
        <x:v>173</x:v>
      </x:c>
      <x:c r="G204" s="7">
        <x:f>'2026.9.4'!J137</x:f>
        <x:v>1900</x:v>
      </x:c>
      <x:c r="H204" s="1">
        <x:f>SUM(I13:I15)*8+SUM(I16)*16</x:f>
        <x:v>0</x:v>
      </x:c>
      <x:c r="K204" s="22">
        <x:f>G204+J204-H204-I204</x:f>
        <x:v>1900</x:v>
      </x:c>
      <x:c r="L204" s="19">
        <x:f>K204/D204</x:f>
        <x:v>105.55555555555556</x:v>
      </x:c>
      <x:c r="M204" s="25" t="str">
        <x:f>IF(L204&lt;=10,119,"")</x:f>
        <x:v/>
      </x:c>
    </x:row>
    <x:row r="205" spans="1:13">
      <x:c r="A205" s="9" t="s">
        <x:v>176</x:v>
      </x:c>
      <x:c r="B205" s="11" t="s">
        <x:v>231</x:v>
      </x:c>
      <x:c r="C205" s="9" t="s">
        <x:v>143</x:v>
      </x:c>
      <x:c r="D205" s="1">
        <x:v>8</x:v>
      </x:c>
      <x:c r="E205" s="9" t="s">
        <x:v>70</x:v>
      </x:c>
      <x:c r="F205" s="1" t="s">
        <x:v>184</x:v>
      </x:c>
      <x:c r="G205" s="7">
        <x:f>'2026.9.4'!J138</x:f>
        <x:v>930</x:v>
      </x:c>
      <x:c r="H205" s="1">
        <x:f>I16*D205</x:f>
        <x:v>0</x:v>
      </x:c>
      <x:c r="K205" s="22">
        <x:f>G205+J205-H205-I205</x:f>
        <x:v>930</x:v>
      </x:c>
      <x:c r="L205" s="19">
        <x:f>K205/D205</x:f>
        <x:v>116.25</x:v>
      </x:c>
      <x:c r="M205" s="25" t="str">
        <x:f>IF(L205&lt;=10,119,"")</x:f>
        <x:v/>
      </x:c>
    </x:row>
    <x:row r="206" spans="1:13">
      <x:c r="A206" s="9" t="s">
        <x:v>176</x:v>
      </x:c>
      <x:c r="B206" s="11" t="s">
        <x:v>14</x:v>
      </x:c>
      <x:c r="C206" s="9" t="s">
        <x:v>137</x:v>
      </x:c>
      <x:c r="D206" s="1">
        <x:v>14</x:v>
      </x:c>
      <x:c r="E206" s="9" t="s">
        <x:v>263</x:v>
      </x:c>
      <x:c r="F206" s="1" t="s">
        <x:v>166</x:v>
      </x:c>
      <x:c r="G206" s="7">
        <x:f>'2026.9.4'!J139</x:f>
        <x:v>156</x:v>
      </x:c>
      <x:c r="H206" s="1">
        <x:f>SUM(K5)*12+SUM(K6)*16+SUM(K7)*16+SUM(K8)*8</x:f>
        <x:v>0</x:v>
      </x:c>
      <x:c r="K206" s="22">
        <x:f>G206+J206-H206-I206</x:f>
        <x:v>156</x:v>
      </x:c>
      <x:c r="L206" s="19">
        <x:f>K206/D206</x:f>
        <x:v>11.142857142857142</x:v>
      </x:c>
      <x:c r="M206" s="25" t="str">
        <x:f>IF(L206&lt;=10,119,"")</x:f>
        <x:v/>
      </x:c>
    </x:row>
    <x:row r="207" spans="1:13">
      <x:c r="A207" s="9" t="s">
        <x:v>176</x:v>
      </x:c>
      <x:c r="B207" s="11" t="s">
        <x:v>14</x:v>
      </x:c>
      <x:c r="C207" s="9" t="s">
        <x:v>137</x:v>
      </x:c>
      <x:c r="D207" s="1">
        <x:v>4</x:v>
      </x:c>
      <x:c r="E207" s="9" t="s">
        <x:v>83</x:v>
      </x:c>
      <x:c r="F207" s="1" t="s">
        <x:v>170</x:v>
      </x:c>
      <x:c r="G207" s="7">
        <x:f>'2026.9.4'!J140</x:f>
        <x:v>92</x:v>
      </x:c>
      <x:c r="H207" s="1">
        <x:f>K5*D207</x:f>
        <x:v>0</x:v>
      </x:c>
      <x:c r="K207" s="22">
        <x:f>G207+J207-H207-I207</x:f>
        <x:v>92</x:v>
      </x:c>
      <x:c r="L207" s="19">
        <x:f>K207/D207</x:f>
        <x:v>23</x:v>
      </x:c>
      <x:c r="M207" s="25" t="str">
        <x:f>IF(L207&lt;=10,119,"")</x:f>
        <x:v/>
      </x:c>
    </x:row>
    <x:row r="208" spans="1:13">
      <x:c r="A208" s="9" t="s">
        <x:v>176</x:v>
      </x:c>
      <x:c r="B208" s="11" t="s">
        <x:v>14</x:v>
      </x:c>
      <x:c r="C208" s="9" t="s">
        <x:v>137</x:v>
      </x:c>
      <x:c r="D208" s="1">
        <x:v>8</x:v>
      </x:c>
      <x:c r="E208" s="9" t="s">
        <x:v>73</x:v>
      </x:c>
      <x:c r="F208" s="1" t="s">
        <x:v>153</x:v>
      </x:c>
      <x:c r="G208" s="7">
        <x:f>'2026.9.4'!J141</x:f>
        <x:v>47</x:v>
      </x:c>
      <x:c r="H208" s="1">
        <x:f>K8*D208</x:f>
        <x:v>0</x:v>
      </x:c>
      <x:c r="K208" s="22">
        <x:f>G208+J208-H208-I208</x:f>
        <x:v>47</x:v>
      </x:c>
      <x:c r="L208" s="19">
        <x:f>K208/D208</x:f>
        <x:v>5.875</x:v>
      </x:c>
      <x:c r="M208" s="25">
        <x:f>IF(L208&lt;=10,119,"")</x:f>
        <x:v>119</x:v>
      </x:c>
    </x:row>
  </x:sheetData>
  <x:autoFilter ref="A22:M208"/>
  <x:mergeCells count="2">
    <x:mergeCell ref="B9:F13"/>
    <x:mergeCell ref="H1:K1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 filterMode="1"/>
  <x:dimension ref="A1:O228"/>
  <x:sheetViews>
    <x:sheetView topLeftCell="D1" zoomScaleNormal="100" workbookViewId="0">
      <x:selection activeCell="P16" activeCellId="0" sqref="P16:P16"/>
    </x:sheetView>
  </x:sheetViews>
  <x:sheetFormatPr defaultColWidth="9.00390625" defaultRowHeight="17.800000000000001"/>
  <x:cols>
    <x:col min="1" max="1" width="14.375" style="1" customWidth="1"/>
    <x:col min="2" max="2" width="19" style="10" customWidth="1"/>
    <x:col min="3" max="3" width="12.375" style="1" customWidth="1"/>
    <x:col min="4" max="4" width="8.25" style="1" customWidth="1"/>
    <x:col min="5" max="5" width="26.1953125" style="2" bestFit="1" customWidth="1"/>
    <x:col min="6" max="6" width="18.5" style="1" customWidth="1"/>
    <x:col min="7" max="7" width="10.125" style="1" customWidth="1"/>
    <x:col min="8" max="8" width="14.75" style="1" customWidth="1"/>
    <x:col min="9" max="9" width="12.52734375" style="1" bestFit="1" customWidth="1"/>
    <x:col min="10" max="10" width="13.25" style="1" customWidth="1"/>
    <x:col min="11" max="11" width="12.52734375" style="20" bestFit="1" customWidth="1"/>
    <x:col min="12" max="12" width="14.375" style="18" customWidth="1"/>
    <x:col min="13" max="13" width="10.375" style="1" customWidth="1"/>
    <x:col min="14" max="14" width="10.625" customWidth="1"/>
    <x:col min="15" max="15" width="9.00390625" style="1" bestFit="1" customWidth="1"/>
  </x:cols>
  <x:sheetData>
    <x:row r="1" spans="1:15" customFormat="1" customHeight="1">
      <x:c r="A1" s="1"/>
      <x:c r="B1" s="10"/>
      <x:c r="C1" s="1"/>
      <x:c r="D1" s="1"/>
      <x:c r="E1" s="2"/>
      <x:c r="F1" s="1"/>
      <x:c r="G1" s="1"/>
      <x:c r="H1" s="73" t="s">
        <x:v>237</x:v>
      </x:c>
      <x:c r="I1" s="73"/>
      <x:c r="J1" s="73"/>
      <x:c r="K1" s="74"/>
      <x:c r="L1" s="18"/>
      <x:c r="M1" s="1"/>
      <x:c r="O1" s="1"/>
    </x:row>
    <x:row r="2" spans="1:15" customFormat="1" ht="17.25" customHeight="1">
      <x:c r="A2" s="1"/>
      <x:c r="B2" s="10"/>
      <x:c r="C2" s="1"/>
      <x:c r="D2" s="1"/>
      <x:c r="E2" s="2"/>
      <x:c r="F2" s="1"/>
      <x:c r="G2" s="1"/>
      <x:c r="H2" s="16" t="s">
        <x:v>130</x:v>
      </x:c>
      <x:c r="I2" s="16" t="s">
        <x:v>142</x:v>
      </x:c>
      <x:c r="J2" s="16" t="s">
        <x:v>157</x:v>
      </x:c>
      <x:c r="K2" s="16" t="s">
        <x:v>142</x:v>
      </x:c>
      <x:c r="L2" s="16" t="s">
        <x:v>130</x:v>
      </x:c>
      <x:c r="M2" s="16" t="s">
        <x:v>283</x:v>
      </x:c>
      <x:c r="N2" s="16" t="s">
        <x:v>157</x:v>
      </x:c>
      <x:c r="O2" s="16" t="s">
        <x:v>283</x:v>
      </x:c>
    </x:row>
    <x:row r="3" spans="1:15" customFormat="1" ht="17.25" customHeight="1">
      <x:c r="A3" s="1"/>
      <x:c r="B3" s="10"/>
      <x:c r="C3" s="1"/>
      <x:c r="D3" s="1"/>
      <x:c r="E3" s="2"/>
      <x:c r="F3" s="1"/>
      <x:c r="G3" s="1"/>
      <x:c r="H3" s="16" t="s">
        <x:v>23</x:v>
      </x:c>
      <x:c r="I3" s="16"/>
      <x:c r="J3" s="16"/>
      <x:c r="K3" s="21"/>
      <x:c r="L3" s="16" t="s">
        <x:v>23</x:v>
      </x:c>
      <x:c r="M3" s="16"/>
      <x:c r="N3" s="16"/>
      <x:c r="O3" s="16"/>
    </x:row>
    <x:row r="4" spans="1:15" customFormat="1" ht="17.25" customHeight="1">
      <x:c r="A4" s="1"/>
      <x:c r="B4" s="10"/>
      <x:c r="C4" s="1"/>
      <x:c r="D4" s="1"/>
      <x:c r="E4" s="2"/>
      <x:c r="F4" s="1"/>
      <x:c r="G4" s="1"/>
      <x:c r="H4" s="16" t="s">
        <x:v>94</x:v>
      </x:c>
      <x:c r="I4" s="16"/>
      <x:c r="J4" s="16"/>
      <x:c r="K4" s="21"/>
      <x:c r="L4" s="16" t="s">
        <x:v>94</x:v>
      </x:c>
      <x:c r="M4" s="16"/>
      <x:c r="N4" s="16"/>
      <x:c r="O4" s="16"/>
    </x:row>
    <x:row r="5" spans="1:15" customFormat="1" ht="17.25" customHeight="1">
      <x:c r="A5" s="1"/>
      <x:c r="B5" s="10"/>
      <x:c r="C5" s="1"/>
      <x:c r="D5" s="1"/>
      <x:c r="E5" s="2"/>
      <x:c r="F5" s="1"/>
      <x:c r="G5" s="1"/>
      <x:c r="H5" s="16" t="s">
        <x:v>27</x:v>
      </x:c>
      <x:c r="I5" s="16"/>
      <x:c r="J5" s="16" t="s">
        <x:v>83</x:v>
      </x:c>
      <x:c r="K5" s="21"/>
      <x:c r="L5" s="16" t="s">
        <x:v>27</x:v>
      </x:c>
      <x:c r="M5" s="16"/>
      <x:c r="N5" s="16" t="s">
        <x:v>83</x:v>
      </x:c>
      <x:c r="O5" s="16"/>
    </x:row>
    <x:row r="6" spans="1:15" customFormat="1" ht="17.25" customHeight="1">
      <x:c r="A6" s="1"/>
      <x:c r="B6" s="10"/>
      <x:c r="C6" s="1"/>
      <x:c r="D6" s="1"/>
      <x:c r="E6" s="2"/>
      <x:c r="F6" s="1"/>
      <x:c r="G6" s="1"/>
      <x:c r="H6" s="16" t="s">
        <x:v>36</x:v>
      </x:c>
      <x:c r="I6" s="16"/>
      <x:c r="J6" s="16" t="s">
        <x:v>41</x:v>
      </x:c>
      <x:c r="K6" s="21"/>
      <x:c r="L6" s="16" t="s">
        <x:v>36</x:v>
      </x:c>
      <x:c r="M6" s="16"/>
      <x:c r="N6" s="16" t="s">
        <x:v>41</x:v>
      </x:c>
      <x:c r="O6" s="16"/>
    </x:row>
    <x:row r="7" spans="1:15" customFormat="1" ht="17.25" customHeight="1">
      <x:c r="A7" s="1"/>
      <x:c r="B7" s="10"/>
      <x:c r="C7" s="1"/>
      <x:c r="D7" s="1"/>
      <x:c r="E7" s="2"/>
      <x:c r="F7" s="1"/>
      <x:c r="G7" s="1"/>
      <x:c r="H7" s="16" t="s">
        <x:v>55</x:v>
      </x:c>
      <x:c r="I7" s="16"/>
      <x:c r="J7" s="16" t="s">
        <x:v>47</x:v>
      </x:c>
      <x:c r="K7" s="21"/>
      <x:c r="L7" s="16" t="s">
        <x:v>55</x:v>
      </x:c>
      <x:c r="M7" s="16"/>
      <x:c r="N7" s="16" t="s">
        <x:v>47</x:v>
      </x:c>
      <x:c r="O7" s="16"/>
    </x:row>
    <x:row r="8" spans="1:15" customFormat="1" ht="17.25" customHeight="1">
      <x:c r="A8" s="1"/>
      <x:c r="B8" s="10"/>
      <x:c r="C8" s="1"/>
      <x:c r="D8" s="1"/>
      <x:c r="E8" s="2"/>
      <x:c r="F8" s="1"/>
      <x:c r="G8" s="1"/>
      <x:c r="H8" s="16" t="s">
        <x:v>44</x:v>
      </x:c>
      <x:c r="I8" s="16"/>
      <x:c r="J8" s="16" t="s">
        <x:v>73</x:v>
      </x:c>
      <x:c r="K8" s="21"/>
      <x:c r="L8" s="16" t="s">
        <x:v>44</x:v>
      </x:c>
      <x:c r="M8" s="16"/>
      <x:c r="N8" s="16" t="s">
        <x:v>73</x:v>
      </x:c>
      <x:c r="O8" s="16">
        <x:v>1</x:v>
      </x:c>
    </x:row>
    <x:row r="9" spans="1:15" customFormat="1" ht="17.25" customHeight="1">
      <x:c r="A9" s="1"/>
      <x:c r="B9" s="10"/>
      <x:c r="C9" s="1"/>
      <x:c r="D9" s="1"/>
      <x:c r="E9" s="2"/>
      <x:c r="F9" s="1"/>
      <x:c r="G9" s="1"/>
      <x:c r="H9" s="16" t="s">
        <x:v>255</x:v>
      </x:c>
      <x:c r="I9" s="16"/>
      <x:c r="J9" s="16"/>
      <x:c r="K9" s="21"/>
      <x:c r="L9" s="16" t="s">
        <x:v>255</x:v>
      </x:c>
      <x:c r="M9" s="16"/>
      <x:c r="N9" s="16"/>
      <x:c r="O9" s="16"/>
    </x:row>
    <x:row r="10" spans="1:15" customFormat="1" ht="17.25" customHeight="1">
      <x:c r="A10" s="1"/>
      <x:c r="B10" s="66" t="s">
        <x:v>12</x:v>
      </x:c>
      <x:c r="C10" s="66"/>
      <x:c r="D10" s="66"/>
      <x:c r="E10" s="66"/>
      <x:c r="F10" s="66"/>
      <x:c r="G10" s="1"/>
      <x:c r="H10" s="16" t="s">
        <x:v>76</x:v>
      </x:c>
      <x:c r="I10" s="16"/>
      <x:c r="J10" s="16"/>
      <x:c r="K10" s="21"/>
      <x:c r="L10" s="16" t="s">
        <x:v>76</x:v>
      </x:c>
      <x:c r="M10" s="16"/>
      <x:c r="N10" s="16"/>
      <x:c r="O10" s="16"/>
    </x:row>
    <x:row r="11" spans="1:15" customFormat="1" ht="17.25" customHeight="1">
      <x:c r="A11" s="1"/>
      <x:c r="B11" s="66"/>
      <x:c r="C11" s="66"/>
      <x:c r="D11" s="66"/>
      <x:c r="E11" s="66"/>
      <x:c r="F11" s="66"/>
      <x:c r="G11" s="1"/>
      <x:c r="H11" s="16" t="s">
        <x:v>33</x:v>
      </x:c>
      <x:c r="I11" s="16"/>
      <x:c r="J11" s="16"/>
      <x:c r="K11" s="21"/>
      <x:c r="L11" s="16" t="s">
        <x:v>33</x:v>
      </x:c>
      <x:c r="M11" s="16"/>
      <x:c r="N11" s="16"/>
      <x:c r="O11" s="16"/>
    </x:row>
    <x:row r="12" spans="1:15" customFormat="1" ht="17.25" customHeight="1">
      <x:c r="A12" s="1"/>
      <x:c r="B12" s="66"/>
      <x:c r="C12" s="66"/>
      <x:c r="D12" s="66"/>
      <x:c r="E12" s="66"/>
      <x:c r="F12" s="66"/>
      <x:c r="G12" s="1"/>
      <x:c r="H12" s="16" t="s">
        <x:v>261</x:v>
      </x:c>
      <x:c r="I12" s="16"/>
      <x:c r="J12" s="16"/>
      <x:c r="K12" s="21"/>
      <x:c r="L12" s="16" t="s">
        <x:v>261</x:v>
      </x:c>
      <x:c r="M12" s="16"/>
      <x:c r="N12" s="16"/>
      <x:c r="O12" s="16"/>
    </x:row>
    <x:row r="13" spans="1:15" customFormat="1" ht="17.25" customHeight="1">
      <x:c r="A13" s="1"/>
      <x:c r="B13" s="66"/>
      <x:c r="C13" s="66"/>
      <x:c r="D13" s="66"/>
      <x:c r="E13" s="66"/>
      <x:c r="F13" s="66"/>
      <x:c r="G13" s="1"/>
      <x:c r="H13" s="16" t="s">
        <x:v>43</x:v>
      </x:c>
      <x:c r="I13" s="16"/>
      <x:c r="J13" s="16"/>
      <x:c r="K13" s="21"/>
      <x:c r="L13" s="16" t="s">
        <x:v>43</x:v>
      </x:c>
      <x:c r="M13" s="16"/>
      <x:c r="N13" s="16"/>
      <x:c r="O13" s="16"/>
    </x:row>
    <x:row r="14" spans="2:15" ht="17.25" customHeight="1">
      <x:c r="B14" s="66"/>
      <x:c r="C14" s="66"/>
      <x:c r="D14" s="66"/>
      <x:c r="E14" s="66"/>
      <x:c r="F14" s="66"/>
      <x:c r="H14" s="16" t="s">
        <x:v>21</x:v>
      </x:c>
      <x:c r="I14" s="16"/>
      <x:c r="J14" s="16"/>
      <x:c r="K14" s="21"/>
      <x:c r="L14" s="16" t="s">
        <x:v>21</x:v>
      </x:c>
      <x:c r="M14" s="16"/>
      <x:c r="N14" s="16"/>
      <x:c r="O14" s="16"/>
    </x:row>
    <x:row r="15" spans="1:15" customFormat="1" ht="17.25" customHeight="1">
      <x:c r="A15" s="1"/>
      <x:c r="B15" s="66"/>
      <x:c r="C15" s="66"/>
      <x:c r="D15" s="66"/>
      <x:c r="E15" s="66"/>
      <x:c r="F15" s="66"/>
      <x:c r="G15" s="1"/>
      <x:c r="H15" s="16" t="s">
        <x:v>265</x:v>
      </x:c>
      <x:c r="I15" s="16"/>
      <x:c r="J15" s="16"/>
      <x:c r="K15" s="21"/>
      <x:c r="L15" s="16" t="s">
        <x:v>265</x:v>
      </x:c>
      <x:c r="M15" s="16"/>
      <x:c r="N15" s="16"/>
      <x:c r="O15" s="16"/>
    </x:row>
    <x:row r="16" spans="2:15" ht="17.25" customHeight="1">
      <x:c r="B16" s="66"/>
      <x:c r="C16" s="66"/>
      <x:c r="D16" s="66"/>
      <x:c r="E16" s="66"/>
      <x:c r="F16" s="66"/>
      <x:c r="H16" s="16" t="s">
        <x:v>80</x:v>
      </x:c>
      <x:c r="I16" s="16"/>
      <x:c r="J16" s="16"/>
      <x:c r="K16" s="21"/>
      <x:c r="L16" s="16" t="s">
        <x:v>80</x:v>
      </x:c>
      <x:c r="M16" s="16"/>
      <x:c r="N16" s="16"/>
      <x:c r="O16" s="16"/>
    </x:row>
    <x:row r="17" spans="1:15" customFormat="1" ht="17.25" customHeight="1">
      <x:c r="A17" s="1"/>
      <x:c r="B17" s="67"/>
      <x:c r="C17" s="67"/>
      <x:c r="D17" s="67"/>
      <x:c r="E17" s="67"/>
      <x:c r="F17" s="67"/>
      <x:c r="G17" s="1"/>
      <x:c r="H17" s="16" t="s">
        <x:v>101</x:v>
      </x:c>
      <x:c r="I17" s="16"/>
      <x:c r="J17" s="16"/>
      <x:c r="K17" s="21"/>
      <x:c r="L17" s="16" t="s">
        <x:v>101</x:v>
      </x:c>
      <x:c r="M17" s="16"/>
      <x:c r="N17" s="16"/>
      <x:c r="O17" s="16"/>
    </x:row>
    <x:row r="18" spans="8:15" ht="17.25" customHeight="1">
      <x:c r="H18" s="16" t="s">
        <x:v>31</x:v>
      </x:c>
      <x:c r="I18" s="16"/>
      <x:c r="J18" s="16"/>
      <x:c r="K18" s="21"/>
      <x:c r="L18" s="16" t="s">
        <x:v>31</x:v>
      </x:c>
      <x:c r="M18" s="16"/>
      <x:c r="N18" s="16"/>
      <x:c r="O18" s="16"/>
    </x:row>
    <x:row r="19" spans="8:15" ht="17.25" customHeight="1">
      <x:c r="H19" s="16" t="s">
        <x:v>75</x:v>
      </x:c>
      <x:c r="I19" s="16"/>
      <x:c r="J19" s="16"/>
      <x:c r="K19" s="21"/>
      <x:c r="L19" s="16" t="s">
        <x:v>75</x:v>
      </x:c>
      <x:c r="M19" s="16"/>
      <x:c r="N19" s="16"/>
      <x:c r="O19" s="16"/>
    </x:row>
    <x:row r="20" spans="8:15" ht="17.25" customHeight="1">
      <x:c r="H20" s="16" t="s">
        <x:v>70</x:v>
      </x:c>
      <x:c r="I20" s="16"/>
      <x:c r="J20" s="16"/>
      <x:c r="K20" s="21"/>
      <x:c r="L20" s="16" t="s">
        <x:v>70</x:v>
      </x:c>
      <x:c r="M20" s="16"/>
      <x:c r="N20" s="16"/>
      <x:c r="O20" s="16"/>
    </x:row>
    <x:row r="21" spans="1:15" customFormat="1" ht="17.25" customHeight="1">
      <x:c r="A21" s="1"/>
      <x:c r="B21" s="10"/>
      <x:c r="C21" s="1"/>
      <x:c r="D21" s="1"/>
      <x:c r="E21" s="2"/>
      <x:c r="F21" s="1"/>
      <x:c r="G21" s="1"/>
      <x:c r="H21" s="16" t="s">
        <x:v>244</x:v>
      </x:c>
      <x:c r="I21" s="16"/>
      <x:c r="J21" s="16"/>
      <x:c r="K21" s="21"/>
      <x:c r="L21" s="16" t="s">
        <x:v>244</x:v>
      </x:c>
      <x:c r="M21" s="16"/>
      <x:c r="N21" s="16"/>
      <x:c r="O21" s="16"/>
    </x:row>
    <x:row r="22" spans="1:15" customFormat="1" ht="17.25" customHeight="1">
      <x:c r="A22" s="1"/>
      <x:c r="B22" s="10"/>
      <x:c r="C22" s="1"/>
      <x:c r="D22" s="1"/>
      <x:c r="E22" s="2"/>
      <x:c r="F22" s="1"/>
      <x:c r="G22" s="1"/>
      <x:c r="H22" s="16" t="s">
        <x:v>247</x:v>
      </x:c>
      <x:c r="I22" s="16"/>
      <x:c r="J22" s="16"/>
      <x:c r="K22" s="21"/>
      <x:c r="L22" s="16" t="s">
        <x:v>247</x:v>
      </x:c>
      <x:c r="M22" s="16"/>
      <x:c r="N22" s="16"/>
      <x:c r="O22" s="16"/>
    </x:row>
    <x:row r="23" spans="1:15" customFormat="1" ht="17.25" customHeight="1">
      <x:c r="A23" s="1"/>
      <x:c r="B23" s="10"/>
      <x:c r="C23" s="1"/>
      <x:c r="D23" s="1"/>
      <x:c r="E23" s="2"/>
      <x:c r="F23" s="1"/>
      <x:c r="G23" s="1"/>
      <x:c r="H23" s="16" t="s">
        <x:v>22</x:v>
      </x:c>
      <x:c r="I23" s="16">
        <x:v>1</x:v>
      </x:c>
      <x:c r="J23" s="16"/>
      <x:c r="K23" s="21"/>
      <x:c r="L23" s="16" t="s">
        <x:v>22</x:v>
      </x:c>
      <x:c r="M23" s="16">
        <x:v>1</x:v>
      </x:c>
      <x:c r="N23" s="16"/>
      <x:c r="O23" s="16"/>
    </x:row>
    <x:row r="24" spans="1:15" customFormat="1" ht="17.25" customHeight="1">
      <x:c r="A24" s="1"/>
      <x:c r="B24" s="10"/>
      <x:c r="C24" s="1"/>
      <x:c r="D24" s="1"/>
      <x:c r="E24" s="2"/>
      <x:c r="F24" s="1"/>
      <x:c r="G24" s="1"/>
      <x:c r="H24" s="17" t="s">
        <x:v>96</x:v>
      </x:c>
      <x:c r="I24" s="16"/>
      <x:c r="J24" s="16"/>
      <x:c r="K24" s="21"/>
      <x:c r="L24" s="17" t="s">
        <x:v>96</x:v>
      </x:c>
      <x:c r="M24" s="16"/>
      <x:c r="N24" s="16"/>
      <x:c r="O24" s="16"/>
    </x:row>
    <x:row r="25" spans="8:8">
      <x:c r="H25"/>
    </x:row>
    <x:row r="26" spans="1:15" s="8" customFormat="1" ht="29.25" customHeight="1">
      <x:c r="A26" s="9" t="s">
        <x:v>288</x:v>
      </x:c>
      <x:c r="B26" s="11" t="s">
        <x:v>279</x:v>
      </x:c>
      <x:c r="C26" s="9" t="s">
        <x:v>287</x:v>
      </x:c>
      <x:c r="D26" s="9" t="s">
        <x:v>200</x:v>
      </x:c>
      <x:c r="E26" s="9" t="s">
        <x:v>198</x:v>
      </x:c>
      <x:c r="F26" s="9" t="s">
        <x:v>123</x:v>
      </x:c>
      <x:c r="G26" s="9" t="s">
        <x:v>127</x:v>
      </x:c>
      <x:c r="H26" s="9" t="s">
        <x:v>151</x:v>
      </x:c>
      <x:c r="I26" s="9" t="s">
        <x:v>128</x:v>
      </x:c>
      <x:c r="J26" s="9" t="s">
        <x:v>155</x:v>
      </x:c>
      <x:c r="K26" s="14" t="s">
        <x:v>154</x:v>
      </x:c>
      <x:c r="L26" s="23" t="s">
        <x:v>204</x:v>
      </x:c>
      <x:c r="M26" s="9" t="s">
        <x:v>183</x:v>
      </x:c>
      <x:c r="O26" s="9"/>
    </x:row>
    <x:row r="27" spans="1:15" ht="18" hidden="1" customHeight="1">
      <x:c r="A27" s="9" t="s">
        <x:v>176</x:v>
      </x:c>
      <x:c r="B27" s="15" t="s">
        <x:v>281</x:v>
      </x:c>
      <x:c r="C27" s="14" t="s">
        <x:v>189</x:v>
      </x:c>
      <x:c r="D27" s="6">
        <x:v>2</x:v>
      </x:c>
      <x:c r="E27" s="14" t="s">
        <x:v>241</x:v>
      </x:c>
      <x:c r="F27" s="1" t="s">
        <x:v>32</x:v>
      </x:c>
      <x:c r="G27" s="7">
        <x:f>'2026.9.7'!K23</x:f>
        <x:v>310</x:v>
      </x:c>
      <x:c r="H27" s="6">
        <x:f>SUM(I3:I19)*D27</x:f>
        <x:v>0</x:v>
      </x:c>
      <x:c r="I27" s="6"/>
      <x:c r="J27" s="6"/>
      <x:c r="K27" s="22">
        <x:f>G27+J27-H27-I27</x:f>
        <x:v>310</x:v>
      </x:c>
      <x:c r="L27" s="19">
        <x:f>K27/D27</x:f>
        <x:v>155</x:v>
      </x:c>
      <x:c r="M27" s="25" t="str">
        <x:f>IF(L27&lt;=10,119,"")</x:f>
        <x:v/>
      </x:c>
      <x:c r="O27"/>
    </x:row>
    <x:row r="28" spans="1:15" ht="18" hidden="1" customHeight="1">
      <x:c r="A28" s="9" t="s">
        <x:v>176</x:v>
      </x:c>
      <x:c r="B28" s="15" t="s">
        <x:v>281</x:v>
      </x:c>
      <x:c r="C28" s="14" t="s">
        <x:v>189</x:v>
      </x:c>
      <x:c r="D28" s="6">
        <x:v>2</x:v>
      </x:c>
      <x:c r="E28" s="14" t="s">
        <x:v>70</x:v>
      </x:c>
      <x:c r="F28" s="1" t="s">
        <x:v>65</x:v>
      </x:c>
      <x:c r="G28" s="7">
        <x:f>'2026.9.7'!K24</x:f>
        <x:v>240</x:v>
      </x:c>
      <x:c r="H28" s="6">
        <x:f>I20*D28</x:f>
        <x:v>0</x:v>
      </x:c>
      <x:c r="I28" s="6"/>
      <x:c r="J28" s="6"/>
      <x:c r="K28" s="22">
        <x:f>G28+J28-H28-I28</x:f>
        <x:v>240</x:v>
      </x:c>
      <x:c r="L28" s="19">
        <x:f>K28/D28</x:f>
        <x:v>120</x:v>
      </x:c>
      <x:c r="M28" s="25" t="str">
        <x:f>IF(L28&lt;=10,119,"")</x:f>
        <x:v/>
      </x:c>
      <x:c r="O28"/>
    </x:row>
    <x:row r="29" spans="1:15" customFormat="1" ht="18" hidden="1" customHeight="1">
      <x:c r="A29" s="9" t="s">
        <x:v>176</x:v>
      </x:c>
      <x:c r="B29" s="15" t="s">
        <x:v>281</x:v>
      </x:c>
      <x:c r="C29" s="14" t="s">
        <x:v>189</x:v>
      </x:c>
      <x:c r="D29" s="6">
        <x:v>2</x:v>
      </x:c>
      <x:c r="E29" s="14" t="s">
        <x:v>244</x:v>
      </x:c>
      <x:c r="F29" s="1" t="s">
        <x:v>32</x:v>
      </x:c>
      <x:c r="G29" s="7">
        <x:f>'2026.9.7'!K25</x:f>
        <x:v>17</x:v>
      </x:c>
      <x:c r="H29" s="6">
        <x:f>I21*D29</x:f>
        <x:v>0</x:v>
      </x:c>
      <x:c r="I29" s="6"/>
      <x:c r="J29" s="6"/>
      <x:c r="K29" s="22">
        <x:f>G29+J29-H29-I29</x:f>
        <x:v>17</x:v>
      </x:c>
      <x:c r="L29" s="19">
        <x:f>K29/D29</x:f>
        <x:v>8.5</x:v>
      </x:c>
      <x:c r="M29" s="25">
        <x:f>IF(L29&lt;=10,119,"")</x:f>
        <x:v>119</x:v>
      </x:c>
      <x:c r="O29" s="1"/>
    </x:row>
    <x:row r="30" spans="1:15" customFormat="1" ht="18" hidden="1" customHeight="1">
      <x:c r="A30" s="9" t="s">
        <x:v>176</x:v>
      </x:c>
      <x:c r="B30" s="15" t="s">
        <x:v>281</x:v>
      </x:c>
      <x:c r="C30" s="14" t="s">
        <x:v>189</x:v>
      </x:c>
      <x:c r="D30" s="6">
        <x:v>2</x:v>
      </x:c>
      <x:c r="E30" s="14" t="s">
        <x:v>247</x:v>
      </x:c>
      <x:c r="F30" s="1" t="s">
        <x:v>110</x:v>
      </x:c>
      <x:c r="G30" s="7">
        <x:f>'2026.9.7'!K26</x:f>
        <x:v>17</x:v>
      </x:c>
      <x:c r="H30" s="6">
        <x:f>I22*D30</x:f>
        <x:v>0</x:v>
      </x:c>
      <x:c r="I30" s="6"/>
      <x:c r="J30" s="6"/>
      <x:c r="K30" s="22">
        <x:f>G30+J30-H30-I30</x:f>
        <x:v>17</x:v>
      </x:c>
      <x:c r="L30" s="19">
        <x:f>K30/D30</x:f>
        <x:v>8.5</x:v>
      </x:c>
      <x:c r="M30" s="25">
        <x:f>IF(L30&lt;=10,119,"")</x:f>
        <x:v>119</x:v>
      </x:c>
      <x:c r="O30" s="1"/>
    </x:row>
    <x:row r="31" spans="1:15" customFormat="1" ht="18" customHeight="1">
      <x:c r="A31" s="9" t="s">
        <x:v>176</x:v>
      </x:c>
      <x:c r="B31" s="15" t="s">
        <x:v>281</x:v>
      </x:c>
      <x:c r="C31" s="14" t="s">
        <x:v>189</x:v>
      </x:c>
      <x:c r="D31" s="6">
        <x:v>2</x:v>
      </x:c>
      <x:c r="E31" s="14" t="s">
        <x:v>11</x:v>
      </x:c>
      <x:c r="F31" s="1" t="s">
        <x:v>103</x:v>
      </x:c>
      <x:c r="G31" s="7">
        <x:f>'2026.9.7'!K27</x:f>
        <x:v>6</x:v>
      </x:c>
      <x:c r="H31" s="6">
        <x:f>SUM(I23:I24)*D31</x:f>
        <x:v>2</x:v>
      </x:c>
      <x:c r="I31" s="6"/>
      <x:c r="J31" s="6"/>
      <x:c r="K31" s="22">
        <x:f>G31+J31-H31-I31</x:f>
        <x:v>4</x:v>
      </x:c>
      <x:c r="L31" s="19">
        <x:f>K31/D31</x:f>
        <x:v>2</x:v>
      </x:c>
      <x:c r="M31" s="25">
        <x:f>IF(L31&lt;=10,119,"")</x:f>
        <x:v>119</x:v>
      </x:c>
      <x:c r="O31" s="1"/>
    </x:row>
    <x:row r="32" spans="1:15" customFormat="1" ht="18" hidden="1" customHeight="1">
      <x:c r="A32" s="9" t="s">
        <x:v>176</x:v>
      </x:c>
      <x:c r="B32" s="15" t="s">
        <x:v>281</x:v>
      </x:c>
      <x:c r="C32" s="14" t="s">
        <x:v>143</x:v>
      </x:c>
      <x:c r="D32" s="6">
        <x:v>2</x:v>
      </x:c>
      <x:c r="E32" s="14" t="s">
        <x:v>83</x:v>
      </x:c>
      <x:c r="F32" s="7" t="s">
        <x:v>60</x:v>
      </x:c>
      <x:c r="G32" s="7">
        <x:f>'2026.9.7'!K28</x:f>
        <x:v>76</x:v>
      </x:c>
      <x:c r="H32" s="6">
        <x:f>K5*D32</x:f>
        <x:v>0</x:v>
      </x:c>
      <x:c r="I32" s="6"/>
      <x:c r="J32" s="6"/>
      <x:c r="K32" s="22">
        <x:f>G32+J32-H32-I32</x:f>
        <x:v>76</x:v>
      </x:c>
      <x:c r="L32" s="19">
        <x:f>K32/D32</x:f>
        <x:v>38</x:v>
      </x:c>
      <x:c r="M32" s="25" t="str">
        <x:f>IF(L32&lt;=10,119,"")</x:f>
        <x:v/>
      </x:c>
      <x:c r="O32" s="1"/>
    </x:row>
    <x:row r="33" spans="1:15" customFormat="1" ht="18" hidden="1" customHeight="1">
      <x:c r="A33" s="9" t="s">
        <x:v>176</x:v>
      </x:c>
      <x:c r="B33" s="15" t="s">
        <x:v>281</x:v>
      </x:c>
      <x:c r="C33" s="14" t="s">
        <x:v>143</x:v>
      </x:c>
      <x:c r="D33" s="6">
        <x:v>2</x:v>
      </x:c>
      <x:c r="E33" s="14" t="s">
        <x:v>41</x:v>
      </x:c>
      <x:c r="F33" s="7" t="s">
        <x:v>25</x:v>
      </x:c>
      <x:c r="G33" s="7">
        <x:f>'2026.9.7'!K29</x:f>
        <x:v>2</x:v>
      </x:c>
      <x:c r="H33" s="6">
        <x:f>K6*D33</x:f>
        <x:v>0</x:v>
      </x:c>
      <x:c r="I33" s="6"/>
      <x:c r="J33" s="6"/>
      <x:c r="K33" s="22">
        <x:f>G33+J33-H33-I33</x:f>
        <x:v>2</x:v>
      </x:c>
      <x:c r="L33" s="19">
        <x:f>K33/D33</x:f>
        <x:v>1</x:v>
      </x:c>
      <x:c r="M33" s="25">
        <x:f>IF(L33&lt;=10,119,"")</x:f>
        <x:v>119</x:v>
      </x:c>
      <x:c r="O33" s="1"/>
    </x:row>
    <x:row r="34" spans="1:15" customFormat="1" ht="18" hidden="1" customHeight="1">
      <x:c r="A34" s="9" t="s">
        <x:v>176</x:v>
      </x:c>
      <x:c r="B34" s="15" t="s">
        <x:v>281</x:v>
      </x:c>
      <x:c r="C34" s="14" t="s">
        <x:v>143</x:v>
      </x:c>
      <x:c r="D34" s="6">
        <x:v>2</x:v>
      </x:c>
      <x:c r="E34" s="14" t="s">
        <x:v>47</x:v>
      </x:c>
      <x:c r="F34" s="7" t="s">
        <x:v>39</x:v>
      </x:c>
      <x:c r="G34" s="7">
        <x:f>'2026.9.7'!K30</x:f>
        <x:v>73</x:v>
      </x:c>
      <x:c r="H34" s="6">
        <x:f>K7*D34</x:f>
        <x:v>0</x:v>
      </x:c>
      <x:c r="I34" s="6"/>
      <x:c r="J34" s="6"/>
      <x:c r="K34" s="22">
        <x:f>G34+J34-H34-I34</x:f>
        <x:v>73</x:v>
      </x:c>
      <x:c r="L34" s="19">
        <x:f>K34/D34</x:f>
        <x:v>36.5</x:v>
      </x:c>
      <x:c r="M34" s="25" t="str">
        <x:f>IF(L34&lt;=10,119,"")</x:f>
        <x:v/>
      </x:c>
      <x:c r="O34" s="1"/>
    </x:row>
    <x:row r="35" spans="1:15" customFormat="1" ht="18" hidden="1" customHeight="1">
      <x:c r="A35" s="9" t="s">
        <x:v>176</x:v>
      </x:c>
      <x:c r="B35" s="15" t="s">
        <x:v>281</x:v>
      </x:c>
      <x:c r="C35" s="14" t="s">
        <x:v>143</x:v>
      </x:c>
      <x:c r="D35" s="6">
        <x:v>2</x:v>
      </x:c>
      <x:c r="E35" s="14" t="s">
        <x:v>73</x:v>
      </x:c>
      <x:c r="F35" s="7" t="s">
        <x:v>90</x:v>
      </x:c>
      <x:c r="G35" s="7">
        <x:f>'2026.9.7'!K31</x:f>
        <x:v>74</x:v>
      </x:c>
      <x:c r="H35" s="6">
        <x:f>K8*D35</x:f>
        <x:v>0</x:v>
      </x:c>
      <x:c r="I35" s="6"/>
      <x:c r="J35" s="6"/>
      <x:c r="K35" s="22">
        <x:f>G35+J35-H35-I35</x:f>
        <x:v>74</x:v>
      </x:c>
      <x:c r="L35" s="19">
        <x:f>K35/D35</x:f>
        <x:v>37</x:v>
      </x:c>
      <x:c r="M35" s="25" t="str">
        <x:f>IF(L35&lt;=10,119,"")</x:f>
        <x:v/>
      </x:c>
      <x:c r="O35" s="1"/>
    </x:row>
    <x:row r="36" spans="1:15" customFormat="1" ht="18" customHeight="1">
      <x:c r="A36" s="9" t="s">
        <x:v>176</x:v>
      </x:c>
      <x:c r="B36" s="15" t="s">
        <x:v>242</x:v>
      </x:c>
      <x:c r="C36" s="14" t="s">
        <x:v>189</x:v>
      </x:c>
      <x:c r="D36" s="6">
        <x:v>2</x:v>
      </x:c>
      <x:c r="E36" s="14" t="s">
        <x:v>11</x:v>
      </x:c>
      <x:c r="F36" s="6" t="s">
        <x:v>122</x:v>
      </x:c>
      <x:c r="G36" s="7">
        <x:f>'2026.9.7'!K32</x:f>
        <x:v>8</x:v>
      </x:c>
      <x:c r="H36" s="6">
        <x:f>SUM(I23:I24)*D36</x:f>
        <x:v>2</x:v>
      </x:c>
      <x:c r="I36" s="6"/>
      <x:c r="J36" s="6"/>
      <x:c r="K36" s="22">
        <x:f>G36+J36-H36-I36</x:f>
        <x:v>6</x:v>
      </x:c>
      <x:c r="L36" s="19">
        <x:f>K36/D36</x:f>
        <x:v>3</x:v>
      </x:c>
      <x:c r="M36" s="25">
        <x:f>IF(L36&lt;=10,119,"")</x:f>
        <x:v>119</x:v>
      </x:c>
      <x:c r="O36" s="1"/>
    </x:row>
    <x:row r="37" spans="1:15" ht="18" hidden="1" customHeight="1">
      <x:c r="A37" s="9" t="s">
        <x:v>176</x:v>
      </x:c>
      <x:c r="B37" s="15" t="s">
        <x:v>67</x:v>
      </x:c>
      <x:c r="C37" s="14" t="s">
        <x:v>62</x:v>
      </x:c>
      <x:c r="D37" s="6">
        <x:v>4</x:v>
      </x:c>
      <x:c r="E37" s="14" t="s">
        <x:v>250</x:v>
      </x:c>
      <x:c r="F37" s="1" t="s">
        <x:v>69</x:v>
      </x:c>
      <x:c r="G37" s="7">
        <x:f>'2026.9.7'!K33</x:f>
        <x:v>304</x:v>
      </x:c>
      <x:c r="H37" s="6">
        <x:f>SUM(I3:I14)*D37</x:f>
        <x:v>0</x:v>
      </x:c>
      <x:c r="I37" s="6"/>
      <x:c r="J37" s="6"/>
      <x:c r="K37" s="22">
        <x:f>G37+J37-H37-I37</x:f>
        <x:v>304</x:v>
      </x:c>
      <x:c r="L37" s="19">
        <x:f>K37/D37</x:f>
        <x:v>76</x:v>
      </x:c>
      <x:c r="M37" s="25" t="str">
        <x:f>IF(L37&lt;=10,119,"")</x:f>
        <x:v/>
      </x:c>
      <x:c r="O37"/>
    </x:row>
    <x:row r="38" spans="1:15" ht="18" hidden="1" customHeight="1">
      <x:c r="A38" s="9" t="s">
        <x:v>176</x:v>
      </x:c>
      <x:c r="B38" s="15" t="s">
        <x:v>67</x:v>
      </x:c>
      <x:c r="C38" s="14" t="s">
        <x:v>62</x:v>
      </x:c>
      <x:c r="D38" s="6">
        <x:v>4</x:v>
      </x:c>
      <x:c r="E38" s="14" t="s">
        <x:v>239</x:v>
      </x:c>
      <x:c r="F38" s="1" t="s">
        <x:v>61</x:v>
      </x:c>
      <x:c r="G38" s="7">
        <x:f>'2026.9.7'!K34</x:f>
        <x:v>150</x:v>
      </x:c>
      <x:c r="H38" s="1">
        <x:f>SUM(I16:I19)*D38</x:f>
        <x:v>0</x:v>
      </x:c>
      <x:c r="K38" s="22">
        <x:f>G38+J38-H38-I38</x:f>
        <x:v>150</x:v>
      </x:c>
      <x:c r="L38" s="19">
        <x:f>K38/D38</x:f>
        <x:v>37.5</x:v>
      </x:c>
      <x:c r="M38" s="25" t="str">
        <x:f>IF(L38&lt;=10,119,"")</x:f>
        <x:v/>
      </x:c>
      <x:c r="O38"/>
    </x:row>
    <x:row r="39" spans="1:15" ht="18" hidden="1" customHeight="1">
      <x:c r="A39" s="9" t="s">
        <x:v>176</x:v>
      </x:c>
      <x:c r="B39" s="15" t="s">
        <x:v>67</x:v>
      </x:c>
      <x:c r="C39" s="14" t="s">
        <x:v>62</x:v>
      </x:c>
      <x:c r="D39" s="6">
        <x:v>4</x:v>
      </x:c>
      <x:c r="E39" s="14" t="s">
        <x:v>70</x:v>
      </x:c>
      <x:c r="F39" s="7" t="s">
        <x:v>26</x:v>
      </x:c>
      <x:c r="G39" s="7">
        <x:f>'2026.9.7'!K35</x:f>
        <x:v>262</x:v>
      </x:c>
      <x:c r="H39" s="1">
        <x:f>I20*D39</x:f>
        <x:v>0</x:v>
      </x:c>
      <x:c r="K39" s="22">
        <x:f>G39+J39-H39-I39</x:f>
        <x:v>262</x:v>
      </x:c>
      <x:c r="L39" s="19">
        <x:f>K39/D39</x:f>
        <x:v>65.5</x:v>
      </x:c>
      <x:c r="M39" s="25" t="str">
        <x:f>IF(L39&lt;=10,119,"")</x:f>
        <x:v/>
      </x:c>
      <x:c r="O39"/>
    </x:row>
    <x:row r="40" spans="1:15" customFormat="1" ht="18" hidden="1" customHeight="1">
      <x:c r="A40" s="9" t="s">
        <x:v>176</x:v>
      </x:c>
      <x:c r="B40" s="15" t="s">
        <x:v>67</x:v>
      </x:c>
      <x:c r="C40" s="14" t="s">
        <x:v>62</x:v>
      </x:c>
      <x:c r="D40" s="6">
        <x:v>4</x:v>
      </x:c>
      <x:c r="E40" s="14" t="s">
        <x:v>244</x:v>
      </x:c>
      <x:c r="F40" s="6" t="s">
        <x:v>121</x:v>
      </x:c>
      <x:c r="G40" s="7">
        <x:f>'2026.9.7'!K36</x:f>
        <x:v>6</x:v>
      </x:c>
      <x:c r="H40" s="1">
        <x:f>I21*D40</x:f>
        <x:v>0</x:v>
      </x:c>
      <x:c r="I40" s="1"/>
      <x:c r="J40" s="1"/>
      <x:c r="K40" s="22">
        <x:f>G40+J40-H40-I40</x:f>
        <x:v>6</x:v>
      </x:c>
      <x:c r="L40" s="19">
        <x:f>K40/D40</x:f>
        <x:v>1.5</x:v>
      </x:c>
      <x:c r="M40" s="25">
        <x:f>IF(L40&lt;=10,119,"")</x:f>
        <x:v>119</x:v>
      </x:c>
      <x:c r="O40" s="1"/>
    </x:row>
    <x:row r="41" spans="1:15" customFormat="1" ht="18" hidden="1" customHeight="1">
      <x:c r="A41" s="9" t="s">
        <x:v>176</x:v>
      </x:c>
      <x:c r="B41" s="15" t="s">
        <x:v>67</x:v>
      </x:c>
      <x:c r="C41" s="14" t="s">
        <x:v>62</x:v>
      </x:c>
      <x:c r="D41" s="6">
        <x:v>4</x:v>
      </x:c>
      <x:c r="E41" s="14" t="s">
        <x:v>247</x:v>
      </x:c>
      <x:c r="F41" s="6" t="s">
        <x:v>117</x:v>
      </x:c>
      <x:c r="G41" s="7">
        <x:f>'2026.9.7'!K37</x:f>
        <x:v>6</x:v>
      </x:c>
      <x:c r="H41" s="1">
        <x:f>I22*D41</x:f>
        <x:v>0</x:v>
      </x:c>
      <x:c r="I41" s="1"/>
      <x:c r="J41" s="1"/>
      <x:c r="K41" s="22">
        <x:f>G41+J41-H41-I41</x:f>
        <x:v>6</x:v>
      </x:c>
      <x:c r="L41" s="19">
        <x:f>K41/D41</x:f>
        <x:v>1.5</x:v>
      </x:c>
      <x:c r="M41" s="25">
        <x:f>IF(L41&lt;=10,119,"")</x:f>
        <x:v>119</x:v>
      </x:c>
      <x:c r="O41" s="1"/>
    </x:row>
    <x:row r="42" spans="1:15" customFormat="1" ht="18" hidden="1" customHeight="1">
      <x:c r="A42" s="9" t="s">
        <x:v>176</x:v>
      </x:c>
      <x:c r="B42" s="15" t="s">
        <x:v>67</x:v>
      </x:c>
      <x:c r="C42" s="14" t="s">
        <x:v>62</x:v>
      </x:c>
      <x:c r="D42" s="6">
        <x:v>2</x:v>
      </x:c>
      <x:c r="E42" s="14" t="s">
        <x:v>22</x:v>
      </x:c>
      <x:c r="F42" s="6" t="s">
        <x:v>93</x:v>
      </x:c>
      <x:c r="G42" s="7">
        <x:f>'2026.9.7'!K38</x:f>
        <x:v>2</x:v>
      </x:c>
      <x:c r="H42" s="1">
        <x:f>I23*D42</x:f>
        <x:v>2</x:v>
      </x:c>
      <x:c r="I42" s="1"/>
      <x:c r="J42" s="1"/>
      <x:c r="K42" s="22">
        <x:f>G42+J42-H42-I42</x:f>
        <x:v>0</x:v>
      </x:c>
      <x:c r="L42" s="19">
        <x:f>K42/D42</x:f>
        <x:v>0</x:v>
      </x:c>
      <x:c r="M42" s="25">
        <x:f>IF(L42&lt;=10,119,"")</x:f>
        <x:v>119</x:v>
      </x:c>
      <x:c r="O42" s="1"/>
    </x:row>
    <x:row r="43" spans="1:15" customFormat="1" ht="18" hidden="1" customHeight="1">
      <x:c r="A43" s="9" t="s">
        <x:v>176</x:v>
      </x:c>
      <x:c r="B43" s="15" t="s">
        <x:v>67</x:v>
      </x:c>
      <x:c r="C43" s="14" t="s">
        <x:v>62</x:v>
      </x:c>
      <x:c r="D43" s="6">
        <x:v>2</x:v>
      </x:c>
      <x:c r="E43" s="14" t="s">
        <x:v>96</x:v>
      </x:c>
      <x:c r="F43" s="6" t="s">
        <x:v>102</x:v>
      </x:c>
      <x:c r="G43" s="7">
        <x:f>'2026.9.7'!K39</x:f>
        <x:v>4</x:v>
      </x:c>
      <x:c r="H43" s="1">
        <x:f>I24*D43</x:f>
        <x:v>0</x:v>
      </x:c>
      <x:c r="I43" s="1"/>
      <x:c r="J43" s="1"/>
      <x:c r="K43" s="22">
        <x:f>G43+J43-H43-I43</x:f>
        <x:v>4</x:v>
      </x:c>
      <x:c r="L43" s="19">
        <x:f>K43/D43</x:f>
        <x:v>2</x:v>
      </x:c>
      <x:c r="M43" s="25">
        <x:f>IF(L43&lt;=10,119,"")</x:f>
        <x:v>119</x:v>
      </x:c>
      <x:c r="O43" s="1"/>
    </x:row>
    <x:row r="44" spans="1:15" ht="18" hidden="1" customHeight="1">
      <x:c r="A44" s="9" t="s">
        <x:v>176</x:v>
      </x:c>
      <x:c r="B44" s="15" t="s">
        <x:v>67</x:v>
      </x:c>
      <x:c r="C44" s="14" t="s">
        <x:v>62</x:v>
      </x:c>
      <x:c r="D44" s="1">
        <x:v>4</x:v>
      </x:c>
      <x:c r="E44" s="14" t="s">
        <x:v>83</x:v>
      </x:c>
      <x:c r="F44" s="7" t="s">
        <x:v>61</x:v>
      </x:c>
      <x:c r="G44" s="7">
        <x:f>'2026.9.7'!K40</x:f>
        <x:v>206</x:v>
      </x:c>
      <x:c r="H44" s="1">
        <x:f>K5*D44</x:f>
        <x:v>0</x:v>
      </x:c>
      <x:c r="K44" s="22">
        <x:f>G44+J44-H44-I44</x:f>
        <x:v>206</x:v>
      </x:c>
      <x:c r="L44" s="19">
        <x:f>K44/D44</x:f>
        <x:v>51.5</x:v>
      </x:c>
      <x:c r="M44" s="25" t="str">
        <x:f>IF(L44&lt;=10,119,"")</x:f>
        <x:v/>
      </x:c>
      <x:c r="O44"/>
    </x:row>
    <x:row r="45" spans="1:15" ht="18" hidden="1" customHeight="1">
      <x:c r="A45" s="9" t="s">
        <x:v>176</x:v>
      </x:c>
      <x:c r="B45" s="15" t="s">
        <x:v>67</x:v>
      </x:c>
      <x:c r="C45" s="14" t="s">
        <x:v>62</x:v>
      </x:c>
      <x:c r="D45" s="1">
        <x:v>4</x:v>
      </x:c>
      <x:c r="E45" s="14" t="s">
        <x:v>41</x:v>
      </x:c>
      <x:c r="F45" s="7" t="s">
        <x:v>50</x:v>
      </x:c>
      <x:c r="G45" s="7">
        <x:f>'2026.9.7'!K41</x:f>
        <x:v>0</x:v>
      </x:c>
      <x:c r="H45" s="1">
        <x:f>K6*D45</x:f>
        <x:v>0</x:v>
      </x:c>
      <x:c r="K45" s="22">
        <x:f>G45+J45-H45-I45</x:f>
        <x:v>0</x:v>
      </x:c>
      <x:c r="L45" s="19">
        <x:f>K45/D45</x:f>
        <x:v>0</x:v>
      </x:c>
      <x:c r="M45" s="25">
        <x:f>IF(L45&lt;=10,119,"")</x:f>
        <x:v>119</x:v>
      </x:c>
      <x:c r="O45"/>
    </x:row>
    <x:row r="46" spans="1:15" ht="18" hidden="1" customHeight="1">
      <x:c r="A46" s="9" t="s">
        <x:v>176</x:v>
      </x:c>
      <x:c r="B46" s="15" t="s">
        <x:v>67</x:v>
      </x:c>
      <x:c r="C46" s="14" t="s">
        <x:v>62</x:v>
      </x:c>
      <x:c r="D46" s="1">
        <x:v>4</x:v>
      </x:c>
      <x:c r="E46" s="14" t="s">
        <x:v>19</x:v>
      </x:c>
      <x:c r="F46" s="7" t="s">
        <x:v>74</x:v>
      </x:c>
      <x:c r="G46" s="7">
        <x:f>'2026.9.7'!K42</x:f>
        <x:v>320</x:v>
      </x:c>
      <x:c r="H46" s="1">
        <x:f>SUM(K7:K8)*D46</x:f>
        <x:v>0</x:v>
      </x:c>
      <x:c r="K46" s="22">
        <x:f>G46+J46-H46-I46</x:f>
        <x:v>320</x:v>
      </x:c>
      <x:c r="L46" s="19">
        <x:f>K46/D46</x:f>
        <x:v>80</x:v>
      </x:c>
      <x:c r="M46" s="25" t="str">
        <x:f>IF(L46&lt;=10,119,"")</x:f>
        <x:v/>
      </x:c>
      <x:c r="O46"/>
    </x:row>
    <x:row r="47" spans="1:15" customFormat="1" ht="18" hidden="1" customHeight="1">
      <x:c r="A47" s="9" t="s">
        <x:v>176</x:v>
      </x:c>
      <x:c r="B47" s="15" t="s">
        <x:v>243</x:v>
      </x:c>
      <x:c r="C47" s="14" t="s">
        <x:v>62</x:v>
      </x:c>
      <x:c r="D47" s="6">
        <x:v>8</x:v>
      </x:c>
      <x:c r="E47" s="14" t="s">
        <x:v>250</x:v>
      </x:c>
      <x:c r="F47" s="1" t="s">
        <x:v>69</x:v>
      </x:c>
      <x:c r="G47" s="7">
        <x:f>'2026.9.7'!K43</x:f>
        <x:v>612</x:v>
      </x:c>
      <x:c r="H47" s="6">
        <x:f>SUM(I3:I14)*D47</x:f>
        <x:v>0</x:v>
      </x:c>
      <x:c r="I47" s="6"/>
      <x:c r="J47" s="6"/>
      <x:c r="K47" s="22">
        <x:f>G47+J47-H47-I47</x:f>
        <x:v>612</x:v>
      </x:c>
      <x:c r="L47" s="19">
        <x:f>K47/D47</x:f>
        <x:v>76.5</x:v>
      </x:c>
      <x:c r="M47" s="25" t="str">
        <x:f>IF(L47&lt;=10,119,"")</x:f>
        <x:v/>
      </x:c>
      <x:c r="O47" s="1"/>
    </x:row>
    <x:row r="48" spans="1:15" customFormat="1" ht="18" hidden="1" customHeight="1">
      <x:c r="A48" s="9" t="s">
        <x:v>176</x:v>
      </x:c>
      <x:c r="B48" s="15" t="s">
        <x:v>243</x:v>
      </x:c>
      <x:c r="C48" s="14" t="s">
        <x:v>62</x:v>
      </x:c>
      <x:c r="D48" s="6">
        <x:v>8</x:v>
      </x:c>
      <x:c r="E48" s="14" t="s">
        <x:v>239</x:v>
      </x:c>
      <x:c r="F48" s="1" t="s">
        <x:v>61</x:v>
      </x:c>
      <x:c r="G48" s="7">
        <x:f>'2026.9.7'!K44</x:f>
        <x:v>246</x:v>
      </x:c>
      <x:c r="H48" s="1">
        <x:f>SUM(I16:I19)*D48</x:f>
        <x:v>0</x:v>
      </x:c>
      <x:c r="I48" s="1"/>
      <x:c r="J48" s="1"/>
      <x:c r="K48" s="22">
        <x:f>G48+J48-H48-I48</x:f>
        <x:v>246</x:v>
      </x:c>
      <x:c r="L48" s="19">
        <x:f>K48/D48</x:f>
        <x:v>30.75</x:v>
      </x:c>
      <x:c r="M48" s="25" t="str">
        <x:f>IF(L48&lt;=10,119,"")</x:f>
        <x:v/>
      </x:c>
      <x:c r="O48" s="1"/>
    </x:row>
    <x:row r="49" spans="1:15" customFormat="1" ht="18" hidden="1" customHeight="1">
      <x:c r="A49" s="9" t="s">
        <x:v>176</x:v>
      </x:c>
      <x:c r="B49" s="15" t="s">
        <x:v>243</x:v>
      </x:c>
      <x:c r="C49" s="14" t="s">
        <x:v>62</x:v>
      </x:c>
      <x:c r="D49" s="6">
        <x:v>8</x:v>
      </x:c>
      <x:c r="E49" s="14" t="s">
        <x:v>70</x:v>
      </x:c>
      <x:c r="F49" s="7" t="s">
        <x:v>26</x:v>
      </x:c>
      <x:c r="G49" s="7">
        <x:f>'2026.9.7'!K45</x:f>
        <x:v>530</x:v>
      </x:c>
      <x:c r="H49" s="1">
        <x:f>I20*D49</x:f>
        <x:v>0</x:v>
      </x:c>
      <x:c r="I49" s="1"/>
      <x:c r="J49" s="1"/>
      <x:c r="K49" s="22">
        <x:f>G49+J49-H49-I49</x:f>
        <x:v>530</x:v>
      </x:c>
      <x:c r="L49" s="19">
        <x:f>K49/D49</x:f>
        <x:v>66.25</x:v>
      </x:c>
      <x:c r="M49" s="25" t="str">
        <x:f>IF(L49&lt;=10,119,"")</x:f>
        <x:v/>
      </x:c>
      <x:c r="O49" s="1"/>
    </x:row>
    <x:row r="50" spans="1:15" customFormat="1" ht="18" hidden="1" customHeight="1">
      <x:c r="A50" s="9" t="s">
        <x:v>176</x:v>
      </x:c>
      <x:c r="B50" s="15" t="s">
        <x:v>243</x:v>
      </x:c>
      <x:c r="C50" s="14" t="s">
        <x:v>62</x:v>
      </x:c>
      <x:c r="D50" s="6">
        <x:v>5</x:v>
      </x:c>
      <x:c r="E50" s="14" t="s">
        <x:v>244</x:v>
      </x:c>
      <x:c r="F50" s="6" t="s">
        <x:v>78</x:v>
      </x:c>
      <x:c r="G50" s="7">
        <x:f>'2026.9.7'!K46</x:f>
        <x:v>10</x:v>
      </x:c>
      <x:c r="H50" s="1">
        <x:f>SUM(I21)*D50</x:f>
        <x:v>0</x:v>
      </x:c>
      <x:c r="I50" s="1"/>
      <x:c r="J50" s="1"/>
      <x:c r="K50" s="22">
        <x:f>G50+J50-H50-I50</x:f>
        <x:v>10</x:v>
      </x:c>
      <x:c r="L50" s="19">
        <x:f>K50/D50</x:f>
        <x:v>2</x:v>
      </x:c>
      <x:c r="M50" s="25">
        <x:f>IF(L50&lt;=10,119,"")</x:f>
        <x:v>119</x:v>
      </x:c>
      <x:c r="O50" s="1"/>
    </x:row>
    <x:row r="51" spans="1:15" customFormat="1" ht="18" hidden="1" customHeight="1">
      <x:c r="A51" s="9" t="s">
        <x:v>176</x:v>
      </x:c>
      <x:c r="B51" s="15" t="s">
        <x:v>243</x:v>
      </x:c>
      <x:c r="C51" s="14" t="s">
        <x:v>62</x:v>
      </x:c>
      <x:c r="D51" s="6">
        <x:v>5</x:v>
      </x:c>
      <x:c r="E51" s="14" t="s">
        <x:v>247</x:v>
      </x:c>
      <x:c r="F51" s="6" t="s">
        <x:v>72</x:v>
      </x:c>
      <x:c r="G51" s="7">
        <x:f>'2026.9.7'!K47</x:f>
        <x:v>10</x:v>
      </x:c>
      <x:c r="H51" s="1">
        <x:f>SUM(I22)*D51</x:f>
        <x:v>0</x:v>
      </x:c>
      <x:c r="I51" s="1"/>
      <x:c r="J51" s="1"/>
      <x:c r="K51" s="22">
        <x:f>G51+J51-H51-I51</x:f>
        <x:v>10</x:v>
      </x:c>
      <x:c r="L51" s="19">
        <x:f>K51/D51</x:f>
        <x:v>2</x:v>
      </x:c>
      <x:c r="M51" s="25">
        <x:f>IF(L51&lt;=10,119,"")</x:f>
        <x:v>119</x:v>
      </x:c>
      <x:c r="O51" s="1"/>
    </x:row>
    <x:row r="52" spans="1:15" customFormat="1" ht="18" hidden="1" customHeight="1">
      <x:c r="A52" s="9" t="s">
        <x:v>176</x:v>
      </x:c>
      <x:c r="B52" s="15" t="s">
        <x:v>243</x:v>
      </x:c>
      <x:c r="C52" s="14" t="s">
        <x:v>62</x:v>
      </x:c>
      <x:c r="D52" s="6">
        <x:v>8</x:v>
      </x:c>
      <x:c r="E52" s="14" t="s">
        <x:v>22</x:v>
      </x:c>
      <x:c r="F52" s="6" t="s">
        <x:v>93</x:v>
      </x:c>
      <x:c r="G52" s="7">
        <x:f>'2026.9.7'!K48</x:f>
        <x:v>8</x:v>
      </x:c>
      <x:c r="H52" s="1">
        <x:f>SUM(I23)*D52</x:f>
        <x:v>8</x:v>
      </x:c>
      <x:c r="I52" s="1"/>
      <x:c r="J52" s="1"/>
      <x:c r="K52" s="22">
        <x:f>G52+J52-H52-I52</x:f>
        <x:v>0</x:v>
      </x:c>
      <x:c r="L52" s="19">
        <x:f>K52/D52</x:f>
        <x:v>0</x:v>
      </x:c>
      <x:c r="M52" s="25">
        <x:f>IF(L52&lt;=10,119,"")</x:f>
        <x:v>119</x:v>
      </x:c>
      <x:c r="O52" s="1"/>
    </x:row>
    <x:row r="53" spans="1:15" customFormat="1" ht="18" hidden="1" customHeight="1">
      <x:c r="A53" s="9" t="s">
        <x:v>176</x:v>
      </x:c>
      <x:c r="B53" s="15" t="s">
        <x:v>243</x:v>
      </x:c>
      <x:c r="C53" s="14" t="s">
        <x:v>62</x:v>
      </x:c>
      <x:c r="D53" s="6">
        <x:v>8</x:v>
      </x:c>
      <x:c r="E53" s="14" t="s">
        <x:v>96</x:v>
      </x:c>
      <x:c r="F53" s="6" t="s">
        <x:v>102</x:v>
      </x:c>
      <x:c r="G53" s="7">
        <x:f>'2026.9.7'!K49</x:f>
        <x:v>16</x:v>
      </x:c>
      <x:c r="H53" s="1">
        <x:f>SUM(I24)*D53</x:f>
        <x:v>0</x:v>
      </x:c>
      <x:c r="I53" s="1"/>
      <x:c r="J53" s="1"/>
      <x:c r="K53" s="22">
        <x:f>G53+J53-H53-I53</x:f>
        <x:v>16</x:v>
      </x:c>
      <x:c r="L53" s="19">
        <x:f>K53/D53</x:f>
        <x:v>2</x:v>
      </x:c>
      <x:c r="M53" s="25">
        <x:f>IF(L53&lt;=10,119,"")</x:f>
        <x:v>119</x:v>
      </x:c>
      <x:c r="O53" s="1"/>
    </x:row>
    <x:row r="54" spans="1:15" customFormat="1" ht="18" hidden="1" customHeight="1">
      <x:c r="A54" s="9" t="s">
        <x:v>176</x:v>
      </x:c>
      <x:c r="B54" s="15" t="s">
        <x:v>243</x:v>
      </x:c>
      <x:c r="C54" s="14" t="s">
        <x:v>62</x:v>
      </x:c>
      <x:c r="D54" s="1">
        <x:v>5</x:v>
      </x:c>
      <x:c r="E54" s="14" t="s">
        <x:v>83</x:v>
      </x:c>
      <x:c r="F54" s="7" t="s">
        <x:v>82</x:v>
      </x:c>
      <x:c r="G54" s="7">
        <x:f>'2026.9.7'!K50</x:f>
        <x:v>180</x:v>
      </x:c>
      <x:c r="H54" s="1">
        <x:f>K5*D54</x:f>
        <x:v>0</x:v>
      </x:c>
      <x:c r="I54" s="1"/>
      <x:c r="J54" s="1"/>
      <x:c r="K54" s="22">
        <x:f>G54+J54-H54-I54</x:f>
        <x:v>180</x:v>
      </x:c>
      <x:c r="L54" s="19">
        <x:f>K54/D54</x:f>
        <x:v>36</x:v>
      </x:c>
      <x:c r="M54" s="25" t="str">
        <x:f>IF(L54&lt;=10,119,"")</x:f>
        <x:v/>
      </x:c>
      <x:c r="O54" s="1"/>
    </x:row>
    <x:row r="55" spans="1:15" customFormat="1" ht="18" hidden="1" customHeight="1">
      <x:c r="A55" s="9" t="s">
        <x:v>176</x:v>
      </x:c>
      <x:c r="B55" s="15" t="s">
        <x:v>243</x:v>
      </x:c>
      <x:c r="C55" s="14" t="s">
        <x:v>62</x:v>
      </x:c>
      <x:c r="D55" s="1">
        <x:v>5</x:v>
      </x:c>
      <x:c r="E55" s="14" t="s">
        <x:v>41</x:v>
      </x:c>
      <x:c r="F55" s="7" t="s">
        <x:v>48</x:v>
      </x:c>
      <x:c r="G55" s="7">
        <x:f>'2026.9.7'!K51</x:f>
        <x:v>5</x:v>
      </x:c>
      <x:c r="H55" s="1">
        <x:f>K6*D55</x:f>
        <x:v>0</x:v>
      </x:c>
      <x:c r="I55" s="1"/>
      <x:c r="J55" s="1"/>
      <x:c r="K55" s="22">
        <x:f>G55+J55-H55-I55</x:f>
        <x:v>5</x:v>
      </x:c>
      <x:c r="L55" s="19">
        <x:f>K55/D55</x:f>
        <x:v>1</x:v>
      </x:c>
      <x:c r="M55" s="25">
        <x:f>IF(L55&lt;=10,119,"")</x:f>
        <x:v>119</x:v>
      </x:c>
      <x:c r="O55" s="1"/>
    </x:row>
    <x:row r="56" spans="1:15" customFormat="1" ht="18" hidden="1" customHeight="1">
      <x:c r="A56" s="9" t="s">
        <x:v>176</x:v>
      </x:c>
      <x:c r="B56" s="15" t="s">
        <x:v>243</x:v>
      </x:c>
      <x:c r="C56" s="14" t="s">
        <x:v>62</x:v>
      </x:c>
      <x:c r="D56" s="1">
        <x:v>5</x:v>
      </x:c>
      <x:c r="E56" s="14" t="s">
        <x:v>19</x:v>
      </x:c>
      <x:c r="F56" s="7" t="s">
        <x:v>97</x:v>
      </x:c>
      <x:c r="G56" s="7">
        <x:f>'2026.9.7'!K52</x:f>
        <x:v>370</x:v>
      </x:c>
      <x:c r="H56" s="1">
        <x:f>K8*D56</x:f>
        <x:v>0</x:v>
      </x:c>
      <x:c r="I56" s="1"/>
      <x:c r="J56" s="1"/>
      <x:c r="K56" s="22">
        <x:f>G56+J56-H56-I56</x:f>
        <x:v>370</x:v>
      </x:c>
      <x:c r="L56" s="19">
        <x:f>K56/D56</x:f>
        <x:v>74</x:v>
      </x:c>
      <x:c r="M56" s="25" t="str">
        <x:f>IF(L56&lt;=10,119,"")</x:f>
        <x:v/>
      </x:c>
      <x:c r="O56" s="1"/>
    </x:row>
    <x:row r="57" spans="1:15" customFormat="1" ht="18" hidden="1" customHeight="1">
      <x:c r="A57" s="9" t="s">
        <x:v>176</x:v>
      </x:c>
      <x:c r="B57" s="15" t="s">
        <x:v>38</x:v>
      </x:c>
      <x:c r="C57" s="14" t="s">
        <x:v>156</x:v>
      </x:c>
      <x:c r="D57" s="6">
        <x:v>2</x:v>
      </x:c>
      <x:c r="E57" s="14" t="s">
        <x:v>250</x:v>
      </x:c>
      <x:c r="F57" s="1" t="s">
        <x:v>120</x:v>
      </x:c>
      <x:c r="G57" s="7">
        <x:f>'2026.9.7'!K53</x:f>
        <x:v>79</x:v>
      </x:c>
      <x:c r="H57" s="6">
        <x:f>SUM(I3:I14)*D57</x:f>
        <x:v>0</x:v>
      </x:c>
      <x:c r="I57" s="6"/>
      <x:c r="J57" s="6"/>
      <x:c r="K57" s="22">
        <x:f>G57+J57-H57-I57</x:f>
        <x:v>79</x:v>
      </x:c>
      <x:c r="L57" s="19">
        <x:f>K57/D57</x:f>
        <x:v>39.5</x:v>
      </x:c>
      <x:c r="M57" s="25" t="str">
        <x:f>IF(L57&lt;=10,119,"")</x:f>
        <x:v/>
      </x:c>
      <x:c r="O57" s="1"/>
    </x:row>
    <x:row r="58" spans="1:15" customFormat="1" ht="18" hidden="1" customHeight="1">
      <x:c r="A58" s="9" t="s">
        <x:v>176</x:v>
      </x:c>
      <x:c r="B58" s="15" t="s">
        <x:v>38</x:v>
      </x:c>
      <x:c r="C58" s="14" t="s">
        <x:v>156</x:v>
      </x:c>
      <x:c r="D58" s="6">
        <x:v>2</x:v>
      </x:c>
      <x:c r="E58" s="14" t="s">
        <x:v>239</x:v>
      </x:c>
      <x:c r="F58" s="1" t="s">
        <x:v>64</x:v>
      </x:c>
      <x:c r="G58" s="7">
        <x:f>'2026.9.7'!K54</x:f>
        <x:v>116</x:v>
      </x:c>
      <x:c r="H58" s="1">
        <x:f>SUM(I16:I19)*D58</x:f>
        <x:v>0</x:v>
      </x:c>
      <x:c r="I58" s="1"/>
      <x:c r="J58" s="1"/>
      <x:c r="K58" s="22">
        <x:f>G58+J58-H58-I58</x:f>
        <x:v>116</x:v>
      </x:c>
      <x:c r="L58" s="19">
        <x:f>K58/D58</x:f>
        <x:v>58</x:v>
      </x:c>
      <x:c r="M58" s="25" t="str">
        <x:f>IF(L58&lt;=10,119,"")</x:f>
        <x:v/>
      </x:c>
      <x:c r="O58" s="1"/>
    </x:row>
    <x:row r="59" spans="1:15" customFormat="1" ht="18" hidden="1" customHeight="1">
      <x:c r="A59" s="9" t="s">
        <x:v>176</x:v>
      </x:c>
      <x:c r="B59" s="15" t="s">
        <x:v>38</x:v>
      </x:c>
      <x:c r="C59" s="14" t="s">
        <x:v>156</x:v>
      </x:c>
      <x:c r="D59" s="6">
        <x:v>2</x:v>
      </x:c>
      <x:c r="E59" s="14" t="s">
        <x:v>70</x:v>
      </x:c>
      <x:c r="F59" s="7" t="s">
        <x:v>63</x:v>
      </x:c>
      <x:c r="G59" s="7">
        <x:f>'2026.9.7'!K55</x:f>
        <x:v>70</x:v>
      </x:c>
      <x:c r="H59" s="1">
        <x:f>I20*D59</x:f>
        <x:v>0</x:v>
      </x:c>
      <x:c r="I59" s="1"/>
      <x:c r="J59" s="1"/>
      <x:c r="K59" s="22">
        <x:f>G59+J59-H59-I59</x:f>
        <x:v>70</x:v>
      </x:c>
      <x:c r="L59" s="19">
        <x:f>K59/D59</x:f>
        <x:v>35</x:v>
      </x:c>
      <x:c r="M59" s="25" t="str">
        <x:f>IF(L59&lt;=10,119,"")</x:f>
        <x:v/>
      </x:c>
      <x:c r="O59" s="1"/>
    </x:row>
    <x:row r="60" spans="1:15" customFormat="1" ht="18" hidden="1" customHeight="1">
      <x:c r="A60" s="9" t="s">
        <x:v>176</x:v>
      </x:c>
      <x:c r="B60" s="15" t="s">
        <x:v>38</x:v>
      </x:c>
      <x:c r="C60" s="14" t="s">
        <x:v>156</x:v>
      </x:c>
      <x:c r="D60" s="6">
        <x:v>2</x:v>
      </x:c>
      <x:c r="E60" s="14" t="s">
        <x:v>244</x:v>
      </x:c>
      <x:c r="F60" s="6" t="s">
        <x:v>108</x:v>
      </x:c>
      <x:c r="G60" s="7">
        <x:f>'2026.9.7'!K56</x:f>
        <x:v>0</x:v>
      </x:c>
      <x:c r="H60" s="1">
        <x:f>I21*D60</x:f>
        <x:v>0</x:v>
      </x:c>
      <x:c r="I60" s="1"/>
      <x:c r="J60" s="1"/>
      <x:c r="K60" s="22">
        <x:f>G60+J60-H60-I60</x:f>
        <x:v>0</x:v>
      </x:c>
      <x:c r="L60" s="19">
        <x:f>K60/D60</x:f>
        <x:v>0</x:v>
      </x:c>
      <x:c r="M60" s="25">
        <x:f>IF(L60&lt;=10,119,"")</x:f>
        <x:v>119</x:v>
      </x:c>
      <x:c r="O60" s="1"/>
    </x:row>
    <x:row r="61" spans="1:15" customFormat="1" ht="18" hidden="1" customHeight="1">
      <x:c r="A61" s="9" t="s">
        <x:v>176</x:v>
      </x:c>
      <x:c r="B61" s="15" t="s">
        <x:v>38</x:v>
      </x:c>
      <x:c r="C61" s="14" t="s">
        <x:v>156</x:v>
      </x:c>
      <x:c r="D61" s="6">
        <x:v>2</x:v>
      </x:c>
      <x:c r="E61" s="14" t="s">
        <x:v>247</x:v>
      </x:c>
      <x:c r="F61" s="6" t="s">
        <x:v>88</x:v>
      </x:c>
      <x:c r="G61" s="7">
        <x:f>'2026.9.7'!K57</x:f>
        <x:v>0</x:v>
      </x:c>
      <x:c r="H61" s="1">
        <x:f>I22*D61</x:f>
        <x:v>0</x:v>
      </x:c>
      <x:c r="I61" s="1"/>
      <x:c r="J61" s="1"/>
      <x:c r="K61" s="22">
        <x:f>G61+J61-H61-I61</x:f>
        <x:v>0</x:v>
      </x:c>
      <x:c r="L61" s="19">
        <x:f>K61/D61</x:f>
        <x:v>0</x:v>
      </x:c>
      <x:c r="M61" s="25">
        <x:f>IF(L61&lt;=10,119,"")</x:f>
        <x:v>119</x:v>
      </x:c>
      <x:c r="O61" s="1"/>
    </x:row>
    <x:row r="62" spans="1:15" customFormat="1" ht="18" hidden="1" customHeight="1">
      <x:c r="A62" s="9" t="s">
        <x:v>176</x:v>
      </x:c>
      <x:c r="B62" s="15" t="s">
        <x:v>38</x:v>
      </x:c>
      <x:c r="C62" s="14" t="s">
        <x:v>156</x:v>
      </x:c>
      <x:c r="D62" s="6">
        <x:v>2</x:v>
      </x:c>
      <x:c r="E62" s="14" t="s">
        <x:v>22</x:v>
      </x:c>
      <x:c r="F62" s="6" t="s">
        <x:v>99</x:v>
      </x:c>
      <x:c r="G62" s="7">
        <x:f>'2026.9.7'!K58</x:f>
        <x:v>2</x:v>
      </x:c>
      <x:c r="H62" s="1">
        <x:f>I23*D62</x:f>
        <x:v>2</x:v>
      </x:c>
      <x:c r="I62" s="1"/>
      <x:c r="J62" s="1"/>
      <x:c r="K62" s="22">
        <x:f>G62+J62-H62-I62</x:f>
        <x:v>0</x:v>
      </x:c>
      <x:c r="L62" s="19">
        <x:f>K62/D62</x:f>
        <x:v>0</x:v>
      </x:c>
      <x:c r="M62" s="25">
        <x:f>IF(L62&lt;=10,119,"")</x:f>
        <x:v>119</x:v>
      </x:c>
      <x:c r="O62" s="1"/>
    </x:row>
    <x:row r="63" spans="1:15" customFormat="1" ht="18" hidden="1" customHeight="1">
      <x:c r="A63" s="9" t="s">
        <x:v>176</x:v>
      </x:c>
      <x:c r="B63" s="15" t="s">
        <x:v>38</x:v>
      </x:c>
      <x:c r="C63" s="14" t="s">
        <x:v>156</x:v>
      </x:c>
      <x:c r="D63" s="6">
        <x:v>2</x:v>
      </x:c>
      <x:c r="E63" s="14" t="s">
        <x:v>96</x:v>
      </x:c>
      <x:c r="F63" s="6" t="s">
        <x:v>104</x:v>
      </x:c>
      <x:c r="G63" s="7">
        <x:f>'2026.9.7'!K59</x:f>
        <x:v>4</x:v>
      </x:c>
      <x:c r="H63" s="1">
        <x:f>I24*D63</x:f>
        <x:v>0</x:v>
      </x:c>
      <x:c r="I63" s="1"/>
      <x:c r="J63" s="1"/>
      <x:c r="K63" s="22">
        <x:f>G63+J63-H63-I63</x:f>
        <x:v>4</x:v>
      </x:c>
      <x:c r="L63" s="19">
        <x:f>K63/D63</x:f>
        <x:v>2</x:v>
      </x:c>
      <x:c r="M63" s="25">
        <x:f>IF(L63&lt;=10,119,"")</x:f>
        <x:v>119</x:v>
      </x:c>
      <x:c r="O63" s="1"/>
    </x:row>
    <x:row r="64" spans="1:15" customFormat="1" ht="18" hidden="1" customHeight="1">
      <x:c r="A64" s="9" t="s">
        <x:v>176</x:v>
      </x:c>
      <x:c r="B64" s="15" t="s">
        <x:v>38</x:v>
      </x:c>
      <x:c r="C64" s="14" t="s">
        <x:v>156</x:v>
      </x:c>
      <x:c r="D64" s="1">
        <x:v>2</x:v>
      </x:c>
      <x:c r="E64" s="14" t="s">
        <x:v>83</x:v>
      </x:c>
      <x:c r="F64" s="1" t="s">
        <x:v>236</x:v>
      </x:c>
      <x:c r="G64" s="7">
        <x:f>'2026.9.7'!K60</x:f>
        <x:v>68</x:v>
      </x:c>
      <x:c r="H64" s="1">
        <x:f>K5*D64</x:f>
        <x:v>0</x:v>
      </x:c>
      <x:c r="I64" s="1"/>
      <x:c r="J64" s="1"/>
      <x:c r="K64" s="22">
        <x:f>G64+J64-H64-I64</x:f>
        <x:v>68</x:v>
      </x:c>
      <x:c r="L64" s="19">
        <x:f>K64/D64</x:f>
        <x:v>34</x:v>
      </x:c>
      <x:c r="M64" s="25" t="str">
        <x:f>IF(L64&lt;=10,119,"")</x:f>
        <x:v/>
      </x:c>
      <x:c r="O64" s="1"/>
    </x:row>
    <x:row r="65" spans="1:15" customFormat="1" ht="18" hidden="1" customHeight="1">
      <x:c r="A65" s="9" t="s">
        <x:v>176</x:v>
      </x:c>
      <x:c r="B65" s="15" t="s">
        <x:v>38</x:v>
      </x:c>
      <x:c r="C65" s="14" t="s">
        <x:v>156</x:v>
      </x:c>
      <x:c r="D65" s="1">
        <x:v>2</x:v>
      </x:c>
      <x:c r="E65" s="14" t="s">
        <x:v>41</x:v>
      </x:c>
      <x:c r="F65" s="7" t="s">
        <x:v>258</x:v>
      </x:c>
      <x:c r="G65" s="7">
        <x:f>'2026.9.7'!K61</x:f>
        <x:v>0</x:v>
      </x:c>
      <x:c r="H65" s="1">
        <x:f>K6*D65</x:f>
        <x:v>0</x:v>
      </x:c>
      <x:c r="I65" s="1"/>
      <x:c r="J65" s="1"/>
      <x:c r="K65" s="22">
        <x:f>G65+J65-H65-I65</x:f>
        <x:v>0</x:v>
      </x:c>
      <x:c r="L65" s="19">
        <x:f>K65/D65</x:f>
        <x:v>0</x:v>
      </x:c>
      <x:c r="M65" s="25">
        <x:f>IF(L65&lt;=10,119,"")</x:f>
        <x:v>119</x:v>
      </x:c>
      <x:c r="O65" s="1"/>
    </x:row>
    <x:row r="66" spans="1:15" customFormat="1" ht="18" hidden="1" customHeight="1">
      <x:c r="A66" s="9" t="s">
        <x:v>176</x:v>
      </x:c>
      <x:c r="B66" s="15" t="s">
        <x:v>38</x:v>
      </x:c>
      <x:c r="C66" s="14" t="s">
        <x:v>156</x:v>
      </x:c>
      <x:c r="D66" s="1">
        <x:v>2</x:v>
      </x:c>
      <x:c r="E66" s="14" t="s">
        <x:v>47</x:v>
      </x:c>
      <x:c r="F66" s="7" t="s">
        <x:v>232</x:v>
      </x:c>
      <x:c r="G66" s="7">
        <x:f>'2026.9.7'!K62</x:f>
        <x:v>88</x:v>
      </x:c>
      <x:c r="H66" s="1">
        <x:f>K7*D66</x:f>
        <x:v>0</x:v>
      </x:c>
      <x:c r="I66" s="1"/>
      <x:c r="J66" s="1"/>
      <x:c r="K66" s="22">
        <x:f>G66+J66-H66-I66</x:f>
        <x:v>88</x:v>
      </x:c>
      <x:c r="L66" s="19">
        <x:f>K66/D66</x:f>
        <x:v>44</x:v>
      </x:c>
      <x:c r="M66" s="25" t="str">
        <x:f>IF(L66&lt;=10,119,"")</x:f>
        <x:v/>
      </x:c>
      <x:c r="O66" s="1"/>
    </x:row>
    <x:row r="67" spans="1:15" ht="18" hidden="1" customHeight="1">
      <x:c r="A67" s="9" t="s">
        <x:v>176</x:v>
      </x:c>
      <x:c r="B67" s="15" t="s">
        <x:v>38</x:v>
      </x:c>
      <x:c r="C67" s="14" t="s">
        <x:v>156</x:v>
      </x:c>
      <x:c r="D67" s="1">
        <x:v>2</x:v>
      </x:c>
      <x:c r="E67" s="9" t="s">
        <x:v>73</x:v>
      </x:c>
      <x:c r="F67" s="7" t="s">
        <x:v>52</x:v>
      </x:c>
      <x:c r="G67" s="7">
        <x:f>'2026.9.7'!K63</x:f>
        <x:v>77</x:v>
      </x:c>
      <x:c r="H67" s="1">
        <x:f>K8*D67</x:f>
        <x:v>0</x:v>
      </x:c>
      <x:c r="K67" s="22">
        <x:f>G67+J67-H67-I67</x:f>
        <x:v>77</x:v>
      </x:c>
      <x:c r="L67" s="19">
        <x:f>K67/D67</x:f>
        <x:v>38.5</x:v>
      </x:c>
      <x:c r="M67" s="25" t="str">
        <x:f>IF(L67&lt;=10,119,"")</x:f>
        <x:v/>
      </x:c>
      <x:c r="O67"/>
    </x:row>
    <x:row r="68" spans="1:15" customFormat="1" ht="18" hidden="1" customHeight="1">
      <x:c r="A68" s="9" t="s">
        <x:v>176</x:v>
      </x:c>
      <x:c r="B68" s="15" t="s">
        <x:v>253</x:v>
      </x:c>
      <x:c r="C68" s="14" t="s">
        <x:v>143</x:v>
      </x:c>
      <x:c r="D68" s="6">
        <x:v>2</x:v>
      </x:c>
      <x:c r="E68" s="14" t="s">
        <x:v>250</x:v>
      </x:c>
      <x:c r="F68" s="1" t="s">
        <x:v>201</x:v>
      </x:c>
      <x:c r="G68" s="7">
        <x:f>'2026.9.7'!K64</x:f>
        <x:v>36</x:v>
      </x:c>
      <x:c r="H68" s="6">
        <x:f>SUM(I3:I14)*D68</x:f>
        <x:v>0</x:v>
      </x:c>
      <x:c r="I68" s="6"/>
      <x:c r="J68" s="6"/>
      <x:c r="K68" s="22">
        <x:f>G68+J68-H68-I68</x:f>
        <x:v>36</x:v>
      </x:c>
      <x:c r="L68" s="19">
        <x:f>K68/D68</x:f>
        <x:v>18</x:v>
      </x:c>
      <x:c r="M68" s="25" t="str">
        <x:f>IF(L68&lt;=10,119,"")</x:f>
        <x:v/>
      </x:c>
      <x:c r="O68" s="1"/>
    </x:row>
    <x:row r="69" spans="1:15" customFormat="1" ht="18" hidden="1" customHeight="1">
      <x:c r="A69" s="9" t="s">
        <x:v>176</x:v>
      </x:c>
      <x:c r="B69" s="15" t="s">
        <x:v>253</x:v>
      </x:c>
      <x:c r="C69" s="14" t="s">
        <x:v>143</x:v>
      </x:c>
      <x:c r="D69" s="6">
        <x:v>2</x:v>
      </x:c>
      <x:c r="E69" s="14" t="s">
        <x:v>239</x:v>
      </x:c>
      <x:c r="F69" s="1" t="s">
        <x:v>150</x:v>
      </x:c>
      <x:c r="G69" s="7">
        <x:f>'2026.9.7'!K65</x:f>
        <x:v>177</x:v>
      </x:c>
      <x:c r="H69" s="1">
        <x:f>SUM(I16:I19)*D69</x:f>
        <x:v>0</x:v>
      </x:c>
      <x:c r="I69" s="1"/>
      <x:c r="J69" s="1"/>
      <x:c r="K69" s="22">
        <x:f>G69+J69-H69-I69</x:f>
        <x:v>177</x:v>
      </x:c>
      <x:c r="L69" s="19">
        <x:f>K69/D69</x:f>
        <x:v>88.5</x:v>
      </x:c>
      <x:c r="M69" s="25" t="str">
        <x:f>IF(L69&lt;=10,119,"")</x:f>
        <x:v/>
      </x:c>
      <x:c r="O69" s="1"/>
    </x:row>
    <x:row r="70" spans="1:15" customFormat="1" ht="18" hidden="1" customHeight="1">
      <x:c r="A70" s="9" t="s">
        <x:v>176</x:v>
      </x:c>
      <x:c r="B70" s="15" t="s">
        <x:v>253</x:v>
      </x:c>
      <x:c r="C70" s="14" t="s">
        <x:v>143</x:v>
      </x:c>
      <x:c r="D70" s="6">
        <x:v>2</x:v>
      </x:c>
      <x:c r="E70" s="14" t="s">
        <x:v>70</x:v>
      </x:c>
      <x:c r="F70" s="7" t="s">
        <x:v>148</x:v>
      </x:c>
      <x:c r="G70" s="7">
        <x:f>'2026.9.7'!K66</x:f>
        <x:v>65</x:v>
      </x:c>
      <x:c r="H70" s="1">
        <x:f>I20*D70</x:f>
        <x:v>0</x:v>
      </x:c>
      <x:c r="I70" s="1"/>
      <x:c r="J70" s="1"/>
      <x:c r="K70" s="22">
        <x:f>G70+J70-H70-I70</x:f>
        <x:v>65</x:v>
      </x:c>
      <x:c r="L70" s="19">
        <x:f>K70/D70</x:f>
        <x:v>32.5</x:v>
      </x:c>
      <x:c r="M70" s="25" t="str">
        <x:f>IF(L70&lt;=10,119,"")</x:f>
        <x:v/>
      </x:c>
      <x:c r="O70" s="1"/>
    </x:row>
    <x:row r="71" spans="1:15" customFormat="1" ht="18" hidden="1" customHeight="1">
      <x:c r="A71" s="9" t="s">
        <x:v>176</x:v>
      </x:c>
      <x:c r="B71" s="15" t="s">
        <x:v>253</x:v>
      </x:c>
      <x:c r="C71" s="14" t="s">
        <x:v>143</x:v>
      </x:c>
      <x:c r="D71" s="6">
        <x:v>1</x:v>
      </x:c>
      <x:c r="E71" s="14" t="s">
        <x:v>244</x:v>
      </x:c>
      <x:c r="F71" s="6" t="s">
        <x:v>185</x:v>
      </x:c>
      <x:c r="G71" s="7">
        <x:f>'2026.9.7'!K67</x:f>
        <x:v>0</x:v>
      </x:c>
      <x:c r="H71" s="1">
        <x:f>I21*D71</x:f>
        <x:v>0</x:v>
      </x:c>
      <x:c r="I71" s="1"/>
      <x:c r="J71" s="1"/>
      <x:c r="K71" s="22">
        <x:f>G71+J71-H71-I71</x:f>
        <x:v>0</x:v>
      </x:c>
      <x:c r="L71" s="19">
        <x:f>K71/D71</x:f>
        <x:v>0</x:v>
      </x:c>
      <x:c r="M71" s="25">
        <x:f>IF(L71&lt;=10,119,"")</x:f>
        <x:v>119</x:v>
      </x:c>
      <x:c r="O71" s="1"/>
    </x:row>
    <x:row r="72" spans="1:15" customFormat="1" ht="18" hidden="1" customHeight="1">
      <x:c r="A72" s="9" t="s">
        <x:v>176</x:v>
      </x:c>
      <x:c r="B72" s="15" t="s">
        <x:v>253</x:v>
      </x:c>
      <x:c r="C72" s="14" t="s">
        <x:v>143</x:v>
      </x:c>
      <x:c r="D72" s="6">
        <x:v>1</x:v>
      </x:c>
      <x:c r="E72" s="14" t="s">
        <x:v>247</x:v>
      </x:c>
      <x:c r="F72" s="6" t="s">
        <x:v>196</x:v>
      </x:c>
      <x:c r="G72" s="7">
        <x:f>'2026.9.7'!K68</x:f>
        <x:v>0</x:v>
      </x:c>
      <x:c r="H72" s="1">
        <x:f>I22*D72</x:f>
        <x:v>0</x:v>
      </x:c>
      <x:c r="I72" s="1"/>
      <x:c r="J72" s="1"/>
      <x:c r="K72" s="22">
        <x:f>G72+J72-H72-I72</x:f>
        <x:v>0</x:v>
      </x:c>
      <x:c r="L72" s="19">
        <x:f>K72/D72</x:f>
        <x:v>0</x:v>
      </x:c>
      <x:c r="M72" s="25">
        <x:f>IF(L72&lt;=10,119,"")</x:f>
        <x:v>119</x:v>
      </x:c>
      <x:c r="O72" s="1"/>
    </x:row>
    <x:row r="73" spans="1:15" customFormat="1" ht="18" hidden="1" customHeight="1">
      <x:c r="A73" s="9" t="s">
        <x:v>176</x:v>
      </x:c>
      <x:c r="B73" s="15" t="s">
        <x:v>253</x:v>
      </x:c>
      <x:c r="C73" s="14" t="s">
        <x:v>143</x:v>
      </x:c>
      <x:c r="D73" s="6">
        <x:v>2</x:v>
      </x:c>
      <x:c r="E73" s="14" t="s">
        <x:v>22</x:v>
      </x:c>
      <x:c r="F73" s="6" t="s">
        <x:v>215</x:v>
      </x:c>
      <x:c r="G73" s="7">
        <x:f>'2026.9.7'!K69</x:f>
        <x:v>2</x:v>
      </x:c>
      <x:c r="H73" s="1">
        <x:f>I23*D73</x:f>
        <x:v>2</x:v>
      </x:c>
      <x:c r="I73" s="1"/>
      <x:c r="J73" s="1"/>
      <x:c r="K73" s="22">
        <x:f>G73+J73-H73-I73</x:f>
        <x:v>0</x:v>
      </x:c>
      <x:c r="L73" s="19">
        <x:f>K73/D73</x:f>
        <x:v>0</x:v>
      </x:c>
      <x:c r="M73" s="25">
        <x:f>IF(L73&lt;=10,119,"")</x:f>
        <x:v>119</x:v>
      </x:c>
      <x:c r="O73" s="1"/>
    </x:row>
    <x:row r="74" spans="1:15" customFormat="1" ht="18" hidden="1" customHeight="1">
      <x:c r="A74" s="9" t="s">
        <x:v>176</x:v>
      </x:c>
      <x:c r="B74" s="15" t="s">
        <x:v>253</x:v>
      </x:c>
      <x:c r="C74" s="14" t="s">
        <x:v>143</x:v>
      </x:c>
      <x:c r="D74" s="6">
        <x:v>2</x:v>
      </x:c>
      <x:c r="E74" s="14" t="s">
        <x:v>96</x:v>
      </x:c>
      <x:c r="F74" s="6" t="s">
        <x:v>206</x:v>
      </x:c>
      <x:c r="G74" s="7">
        <x:f>'2026.9.7'!K70</x:f>
        <x:v>4</x:v>
      </x:c>
      <x:c r="H74" s="1">
        <x:f>I24*D74</x:f>
        <x:v>0</x:v>
      </x:c>
      <x:c r="I74" s="1"/>
      <x:c r="J74" s="1"/>
      <x:c r="K74" s="22">
        <x:f>G74+J74-H74-I74</x:f>
        <x:v>4</x:v>
      </x:c>
      <x:c r="L74" s="19">
        <x:f>K74/D74</x:f>
        <x:v>2</x:v>
      </x:c>
      <x:c r="M74" s="25">
        <x:f>IF(L74&lt;=10,119,"")</x:f>
        <x:v>119</x:v>
      </x:c>
      <x:c r="O74" s="1"/>
    </x:row>
    <x:row r="75" spans="1:15" customFormat="1" ht="18" hidden="1" customHeight="1">
      <x:c r="A75" s="9" t="s">
        <x:v>176</x:v>
      </x:c>
      <x:c r="B75" s="15" t="s">
        <x:v>253</x:v>
      </x:c>
      <x:c r="C75" s="14" t="s">
        <x:v>137</x:v>
      </x:c>
      <x:c r="D75" s="1">
        <x:v>1</x:v>
      </x:c>
      <x:c r="E75" s="14" t="s">
        <x:v>83</x:v>
      </x:c>
      <x:c r="F75" s="1" t="s">
        <x:v>126</x:v>
      </x:c>
      <x:c r="G75" s="7">
        <x:f>'2026.9.7'!K71</x:f>
        <x:v>0</x:v>
      </x:c>
      <x:c r="H75" s="1">
        <x:f>K5*D75</x:f>
        <x:v>0</x:v>
      </x:c>
      <x:c r="I75" s="1"/>
      <x:c r="J75" s="1"/>
      <x:c r="K75" s="22">
        <x:f>G75+J75-H75-I75</x:f>
        <x:v>0</x:v>
      </x:c>
      <x:c r="L75" s="19">
        <x:f>K75/D75</x:f>
        <x:v>0</x:v>
      </x:c>
      <x:c r="M75" s="25">
        <x:f>IF(L75&lt;=10,119,"")</x:f>
        <x:v>119</x:v>
      </x:c>
      <x:c r="O75" s="1"/>
    </x:row>
    <x:row r="76" spans="1:15" customFormat="1" ht="18" hidden="1" customHeight="1">
      <x:c r="A76" s="9" t="s">
        <x:v>176</x:v>
      </x:c>
      <x:c r="B76" s="15" t="s">
        <x:v>253</x:v>
      </x:c>
      <x:c r="C76" s="14" t="s">
        <x:v>137</x:v>
      </x:c>
      <x:c r="D76" s="1">
        <x:v>1</x:v>
      </x:c>
      <x:c r="E76" s="14" t="s">
        <x:v>41</x:v>
      </x:c>
      <x:c r="F76" s="7" t="s">
        <x:v>131</x:v>
      </x:c>
      <x:c r="G76" s="7">
        <x:f>'2026.9.7'!K72</x:f>
        <x:v>3</x:v>
      </x:c>
      <x:c r="H76" s="1">
        <x:f>K6*D76</x:f>
        <x:v>0</x:v>
      </x:c>
      <x:c r="I76" s="1"/>
      <x:c r="J76" s="1"/>
      <x:c r="K76" s="22">
        <x:f>G76+J76-H76-I76</x:f>
        <x:v>3</x:v>
      </x:c>
      <x:c r="L76" s="19">
        <x:f>K76/D76</x:f>
        <x:v>3</x:v>
      </x:c>
      <x:c r="M76" s="25">
        <x:f>IF(L76&lt;=10,119,"")</x:f>
        <x:v>119</x:v>
      </x:c>
      <x:c r="O76" s="1"/>
    </x:row>
    <x:row r="77" spans="1:15" customFormat="1" ht="18" hidden="1" customHeight="1">
      <x:c r="A77" s="9" t="s">
        <x:v>176</x:v>
      </x:c>
      <x:c r="B77" s="15" t="s">
        <x:v>253</x:v>
      </x:c>
      <x:c r="C77" s="14" t="s">
        <x:v>137</x:v>
      </x:c>
      <x:c r="D77" s="1">
        <x:v>1</x:v>
      </x:c>
      <x:c r="E77" s="14" t="s">
        <x:v>47</x:v>
      </x:c>
      <x:c r="F77" s="7" t="s">
        <x:v>133</x:v>
      </x:c>
      <x:c r="G77" s="7">
        <x:f>'2026.9.7'!K73</x:f>
        <x:v>8</x:v>
      </x:c>
      <x:c r="H77" s="1">
        <x:f>K7*D77</x:f>
        <x:v>0</x:v>
      </x:c>
      <x:c r="I77" s="1"/>
      <x:c r="J77" s="1"/>
      <x:c r="K77" s="22">
        <x:f>G77+J77-H77-I77</x:f>
        <x:v>8</x:v>
      </x:c>
      <x:c r="L77" s="19">
        <x:f>K77/D77</x:f>
        <x:v>8</x:v>
      </x:c>
      <x:c r="M77" s="25">
        <x:f>IF(L77&lt;=10,119,"")</x:f>
        <x:v>119</x:v>
      </x:c>
      <x:c r="O77" s="1"/>
    </x:row>
    <x:row r="78" spans="1:15" customFormat="1" ht="18" hidden="1" customHeight="1">
      <x:c r="A78" s="9" t="s">
        <x:v>176</x:v>
      </x:c>
      <x:c r="B78" s="15" t="s">
        <x:v>253</x:v>
      </x:c>
      <x:c r="C78" s="14" t="s">
        <x:v>137</x:v>
      </x:c>
      <x:c r="D78" s="1">
        <x:v>1</x:v>
      </x:c>
      <x:c r="E78" s="9" t="s">
        <x:v>73</x:v>
      </x:c>
      <x:c r="F78" s="7" t="s">
        <x:v>133</x:v>
      </x:c>
      <x:c r="G78" s="7">
        <x:f>'2026.9.7'!K74</x:f>
        <x:v>5</x:v>
      </x:c>
      <x:c r="H78" s="1">
        <x:f>K8*D78</x:f>
        <x:v>0</x:v>
      </x:c>
      <x:c r="I78" s="1"/>
      <x:c r="J78" s="1"/>
      <x:c r="K78" s="22">
        <x:f>G78+J78-H78-I78</x:f>
        <x:v>5</x:v>
      </x:c>
      <x:c r="L78" s="19">
        <x:f>K78/D78</x:f>
        <x:v>5</x:v>
      </x:c>
      <x:c r="M78" s="25">
        <x:f>IF(L78&lt;=10,119,"")</x:f>
        <x:v>119</x:v>
      </x:c>
      <x:c r="O78" s="1"/>
    </x:row>
    <x:row r="79" spans="1:15" customFormat="1" ht="18" hidden="1" customHeight="1">
      <x:c r="A79" s="9" t="s">
        <x:v>176</x:v>
      </x:c>
      <x:c r="B79" s="15" t="s">
        <x:v>274</x:v>
      </x:c>
      <x:c r="C79" s="14" t="s">
        <x:v>143</x:v>
      </x:c>
      <x:c r="D79" s="6">
        <x:v>2</x:v>
      </x:c>
      <x:c r="E79" s="14" t="s">
        <x:v>250</x:v>
      </x:c>
      <x:c r="F79" s="1" t="s">
        <x:v>85</x:v>
      </x:c>
      <x:c r="G79" s="7">
        <x:f>'2026.9.7'!K75</x:f>
        <x:v>116</x:v>
      </x:c>
      <x:c r="H79" s="6">
        <x:f>SUM(I3:I14)*D79</x:f>
        <x:v>0</x:v>
      </x:c>
      <x:c r="I79" s="6"/>
      <x:c r="J79" s="6"/>
      <x:c r="K79" s="22">
        <x:f>G79+J79-H79-I79</x:f>
        <x:v>116</x:v>
      </x:c>
      <x:c r="L79" s="19">
        <x:f>K79/D79</x:f>
        <x:v>58</x:v>
      </x:c>
      <x:c r="M79" s="25" t="str">
        <x:f>IF(L79&lt;=10,119,"")</x:f>
        <x:v/>
      </x:c>
      <x:c r="O79" s="1"/>
    </x:row>
    <x:row r="80" spans="1:15" customFormat="1" ht="18" hidden="1" customHeight="1">
      <x:c r="A80" s="9" t="s">
        <x:v>176</x:v>
      </x:c>
      <x:c r="B80" s="15" t="s">
        <x:v>274</x:v>
      </x:c>
      <x:c r="C80" s="14" t="s">
        <x:v>143</x:v>
      </x:c>
      <x:c r="D80" s="6">
        <x:v>2</x:v>
      </x:c>
      <x:c r="E80" s="14" t="s">
        <x:v>239</x:v>
      </x:c>
      <x:c r="F80" s="1" t="s">
        <x:v>45</x:v>
      </x:c>
      <x:c r="G80" s="7">
        <x:f>'2026.9.7'!K76</x:f>
        <x:v>62</x:v>
      </x:c>
      <x:c r="H80" s="1">
        <x:f>SUM(I16:I19)*D80</x:f>
        <x:v>0</x:v>
      </x:c>
      <x:c r="I80" s="1"/>
      <x:c r="J80" s="1"/>
      <x:c r="K80" s="22">
        <x:f>G80+J80-H80-I80</x:f>
        <x:v>62</x:v>
      </x:c>
      <x:c r="L80" s="19">
        <x:f>K80/D80</x:f>
        <x:v>31</x:v>
      </x:c>
      <x:c r="M80" s="25" t="str">
        <x:f>IF(L80&lt;=10,119,"")</x:f>
        <x:v/>
      </x:c>
      <x:c r="O80" s="1"/>
    </x:row>
    <x:row r="81" spans="1:15" customFormat="1" ht="18" hidden="1" customHeight="1">
      <x:c r="A81" s="9" t="s">
        <x:v>176</x:v>
      </x:c>
      <x:c r="B81" s="15" t="s">
        <x:v>274</x:v>
      </x:c>
      <x:c r="C81" s="14" t="s">
        <x:v>143</x:v>
      </x:c>
      <x:c r="D81" s="6">
        <x:v>2</x:v>
      </x:c>
      <x:c r="E81" s="14" t="s">
        <x:v>70</x:v>
      </x:c>
      <x:c r="F81" s="7" t="s">
        <x:v>66</x:v>
      </x:c>
      <x:c r="G81" s="7">
        <x:f>'2026.9.7'!K77</x:f>
        <x:v>93</x:v>
      </x:c>
      <x:c r="H81" s="1">
        <x:f>I20*D81</x:f>
        <x:v>0</x:v>
      </x:c>
      <x:c r="I81" s="1"/>
      <x:c r="J81" s="1"/>
      <x:c r="K81" s="22">
        <x:f>G81+J81-H81-I81</x:f>
        <x:v>93</x:v>
      </x:c>
      <x:c r="L81" s="19">
        <x:f>K81/D81</x:f>
        <x:v>46.5</x:v>
      </x:c>
      <x:c r="M81" s="25" t="str">
        <x:f>IF(L81&lt;=10,119,"")</x:f>
        <x:v/>
      </x:c>
      <x:c r="O81" s="1"/>
    </x:row>
    <x:row r="82" spans="1:15" customFormat="1" ht="18" hidden="1" customHeight="1">
      <x:c r="A82" s="9" t="s">
        <x:v>176</x:v>
      </x:c>
      <x:c r="B82" s="15" t="s">
        <x:v>274</x:v>
      </x:c>
      <x:c r="C82" s="14" t="s">
        <x:v>143</x:v>
      </x:c>
      <x:c r="D82" s="6">
        <x:v>1</x:v>
      </x:c>
      <x:c r="E82" s="14" t="s">
        <x:v>244</x:v>
      </x:c>
      <x:c r="F82" s="6" t="s">
        <x:v>95</x:v>
      </x:c>
      <x:c r="G82" s="7">
        <x:f>'2026.9.7'!K78</x:f>
        <x:v>0</x:v>
      </x:c>
      <x:c r="H82" s="1">
        <x:f>I21*D82</x:f>
        <x:v>0</x:v>
      </x:c>
      <x:c r="I82" s="1"/>
      <x:c r="J82" s="1"/>
      <x:c r="K82" s="22">
        <x:f>G82+J82-H82-I82</x:f>
        <x:v>0</x:v>
      </x:c>
      <x:c r="L82" s="19">
        <x:f>K82/D82</x:f>
        <x:v>0</x:v>
      </x:c>
      <x:c r="M82" s="25">
        <x:f>IF(L82&lt;=10,119,"")</x:f>
        <x:v>119</x:v>
      </x:c>
      <x:c r="O82" s="1"/>
    </x:row>
    <x:row r="83" spans="1:15" customFormat="1" ht="18" hidden="1" customHeight="1">
      <x:c r="A83" s="9" t="s">
        <x:v>176</x:v>
      </x:c>
      <x:c r="B83" s="15" t="s">
        <x:v>274</x:v>
      </x:c>
      <x:c r="C83" s="14" t="s">
        <x:v>143</x:v>
      </x:c>
      <x:c r="D83" s="6">
        <x:v>1</x:v>
      </x:c>
      <x:c r="E83" s="14" t="s">
        <x:v>247</x:v>
      </x:c>
      <x:c r="F83" s="6" t="s">
        <x:v>98</x:v>
      </x:c>
      <x:c r="G83" s="7">
        <x:f>'2026.9.7'!K79</x:f>
        <x:v>0</x:v>
      </x:c>
      <x:c r="H83" s="1">
        <x:f>I22*D83</x:f>
        <x:v>0</x:v>
      </x:c>
      <x:c r="I83" s="1"/>
      <x:c r="J83" s="1"/>
      <x:c r="K83" s="22">
        <x:f>G83+J83-H83-I83</x:f>
        <x:v>0</x:v>
      </x:c>
      <x:c r="L83" s="19">
        <x:f>K83/D83</x:f>
        <x:v>0</x:v>
      </x:c>
      <x:c r="M83" s="25">
        <x:f>IF(L83&lt;=10,119,"")</x:f>
        <x:v>119</x:v>
      </x:c>
      <x:c r="O83" s="1"/>
    </x:row>
    <x:row r="84" spans="1:15" customFormat="1" ht="18" hidden="1" customHeight="1">
      <x:c r="A84" s="9" t="s">
        <x:v>176</x:v>
      </x:c>
      <x:c r="B84" s="15" t="s">
        <x:v>274</x:v>
      </x:c>
      <x:c r="C84" s="14" t="s">
        <x:v>143</x:v>
      </x:c>
      <x:c r="D84" s="6">
        <x:v>2</x:v>
      </x:c>
      <x:c r="E84" s="14" t="s">
        <x:v>22</x:v>
      </x:c>
      <x:c r="F84" s="6" t="s">
        <x:v>106</x:v>
      </x:c>
      <x:c r="G84" s="7">
        <x:f>'2026.9.7'!K80</x:f>
        <x:v>2</x:v>
      </x:c>
      <x:c r="H84" s="1">
        <x:f>I23*D84</x:f>
        <x:v>2</x:v>
      </x:c>
      <x:c r="I84" s="1"/>
      <x:c r="J84" s="1"/>
      <x:c r="K84" s="22">
        <x:f>G84+J84-H84-I84</x:f>
        <x:v>0</x:v>
      </x:c>
      <x:c r="L84" s="19">
        <x:f>K84/D84</x:f>
        <x:v>0</x:v>
      </x:c>
      <x:c r="M84" s="25">
        <x:f>IF(L84&lt;=10,119,"")</x:f>
        <x:v>119</x:v>
      </x:c>
      <x:c r="O84" s="1"/>
    </x:row>
    <x:row r="85" spans="1:15" customFormat="1" ht="18" hidden="1" customHeight="1">
      <x:c r="A85" s="9" t="s">
        <x:v>176</x:v>
      </x:c>
      <x:c r="B85" s="15" t="s">
        <x:v>274</x:v>
      </x:c>
      <x:c r="C85" s="14" t="s">
        <x:v>143</x:v>
      </x:c>
      <x:c r="D85" s="6">
        <x:v>2</x:v>
      </x:c>
      <x:c r="E85" s="14" t="s">
        <x:v>96</x:v>
      </x:c>
      <x:c r="F85" s="6" t="s">
        <x:v>87</x:v>
      </x:c>
      <x:c r="G85" s="7">
        <x:f>'2026.9.7'!K81</x:f>
        <x:v>4</x:v>
      </x:c>
      <x:c r="H85" s="1">
        <x:f>I24*D85</x:f>
        <x:v>0</x:v>
      </x:c>
      <x:c r="I85" s="1"/>
      <x:c r="J85" s="1"/>
      <x:c r="K85" s="22">
        <x:f>G85+J85-H85-I85</x:f>
        <x:v>4</x:v>
      </x:c>
      <x:c r="L85" s="19">
        <x:f>K85/D85</x:f>
        <x:v>2</x:v>
      </x:c>
      <x:c r="M85" s="25">
        <x:f>IF(L85&lt;=10,119,"")</x:f>
        <x:v>119</x:v>
      </x:c>
      <x:c r="O85" s="1"/>
    </x:row>
    <x:row r="86" spans="1:15" customFormat="1" ht="18" hidden="1" customHeight="1">
      <x:c r="A86" s="9" t="s">
        <x:v>176</x:v>
      </x:c>
      <x:c r="B86" s="15" t="s">
        <x:v>274</x:v>
      </x:c>
      <x:c r="C86" s="14" t="s">
        <x:v>137</x:v>
      </x:c>
      <x:c r="D86" s="1">
        <x:v>1</x:v>
      </x:c>
      <x:c r="E86" s="14" t="s">
        <x:v>83</x:v>
      </x:c>
      <x:c r="F86" s="1"/>
      <x:c r="G86" s="7">
        <x:f>'2026.9.7'!K82</x:f>
        <x:v>1</x:v>
      </x:c>
      <x:c r="H86" s="1">
        <x:f>K5*D86</x:f>
        <x:v>0</x:v>
      </x:c>
      <x:c r="I86" s="1"/>
      <x:c r="J86" s="1"/>
      <x:c r="K86" s="22">
        <x:f>G86+J86-H86-I86</x:f>
        <x:v>1</x:v>
      </x:c>
      <x:c r="L86" s="19">
        <x:f>K86/D86</x:f>
        <x:v>1</x:v>
      </x:c>
      <x:c r="M86" s="25">
        <x:f>IF(L86&lt;=10,119,"")</x:f>
        <x:v>119</x:v>
      </x:c>
      <x:c r="O86" s="1"/>
    </x:row>
    <x:row r="87" spans="1:15" customFormat="1" ht="18" hidden="1" customHeight="1">
      <x:c r="A87" s="9" t="s">
        <x:v>176</x:v>
      </x:c>
      <x:c r="B87" s="15" t="s">
        <x:v>274</x:v>
      </x:c>
      <x:c r="C87" s="14" t="s">
        <x:v>137</x:v>
      </x:c>
      <x:c r="D87" s="1">
        <x:v>1</x:v>
      </x:c>
      <x:c r="E87" s="14" t="s">
        <x:v>41</x:v>
      </x:c>
      <x:c r="F87" s="7"/>
      <x:c r="G87" s="7">
        <x:f>'2026.9.7'!K83</x:f>
        <x:v>0</x:v>
      </x:c>
      <x:c r="H87" s="1">
        <x:f>K6*D87</x:f>
        <x:v>0</x:v>
      </x:c>
      <x:c r="I87" s="1"/>
      <x:c r="J87" s="1"/>
      <x:c r="K87" s="22">
        <x:f>G87+J87-H87-I87</x:f>
        <x:v>0</x:v>
      </x:c>
      <x:c r="L87" s="19">
        <x:f>K87/D87</x:f>
        <x:v>0</x:v>
      </x:c>
      <x:c r="M87" s="25">
        <x:f>IF(L87&lt;=10,119,"")</x:f>
        <x:v>119</x:v>
      </x:c>
      <x:c r="O87" s="1"/>
    </x:row>
    <x:row r="88" spans="1:15" customFormat="1" ht="18" hidden="1" customHeight="1">
      <x:c r="A88" s="9" t="s">
        <x:v>176</x:v>
      </x:c>
      <x:c r="B88" s="15" t="s">
        <x:v>274</x:v>
      </x:c>
      <x:c r="C88" s="14" t="s">
        <x:v>137</x:v>
      </x:c>
      <x:c r="D88" s="1">
        <x:v>1</x:v>
      </x:c>
      <x:c r="E88" s="14" t="s">
        <x:v>47</x:v>
      </x:c>
      <x:c r="F88" s="7"/>
      <x:c r="G88" s="7">
        <x:f>'2026.9.7'!K84</x:f>
        <x:v>9</x:v>
      </x:c>
      <x:c r="H88" s="1">
        <x:f>K7*D88</x:f>
        <x:v>0</x:v>
      </x:c>
      <x:c r="I88" s="1"/>
      <x:c r="J88" s="1"/>
      <x:c r="K88" s="22">
        <x:f>G88+J88-H88-I88</x:f>
        <x:v>9</x:v>
      </x:c>
      <x:c r="L88" s="19">
        <x:f>K88/D88</x:f>
        <x:v>9</x:v>
      </x:c>
      <x:c r="M88" s="25">
        <x:f>IF(L88&lt;=10,119,"")</x:f>
        <x:v>119</x:v>
      </x:c>
      <x:c r="O88" s="1"/>
    </x:row>
    <x:row r="89" spans="1:15" customFormat="1" ht="18" hidden="1" customHeight="1">
      <x:c r="A89" s="9" t="s">
        <x:v>176</x:v>
      </x:c>
      <x:c r="B89" s="15" t="s">
        <x:v>274</x:v>
      </x:c>
      <x:c r="C89" s="14" t="s">
        <x:v>137</x:v>
      </x:c>
      <x:c r="D89" s="1">
        <x:v>1</x:v>
      </x:c>
      <x:c r="E89" s="9" t="s">
        <x:v>73</x:v>
      </x:c>
      <x:c r="F89" s="7" t="s">
        <x:v>92</x:v>
      </x:c>
      <x:c r="G89" s="7">
        <x:f>'2026.9.7'!K85</x:f>
        <x:v>5</x:v>
      </x:c>
      <x:c r="H89" s="1">
        <x:f>K8*D89</x:f>
        <x:v>0</x:v>
      </x:c>
      <x:c r="I89" s="1"/>
      <x:c r="J89" s="1"/>
      <x:c r="K89" s="22">
        <x:f>G89+J89-H89-I89</x:f>
        <x:v>5</x:v>
      </x:c>
      <x:c r="L89" s="19">
        <x:f>K89/D89</x:f>
        <x:v>5</x:v>
      </x:c>
      <x:c r="M89" s="25">
        <x:f>IF(L89&lt;=10,119,"")</x:f>
        <x:v>119</x:v>
      </x:c>
      <x:c r="O89" s="1"/>
    </x:row>
    <x:row r="90" spans="1:15" customFormat="1" ht="18" hidden="1" customHeight="1">
      <x:c r="A90" s="9" t="s">
        <x:v>176</x:v>
      </x:c>
      <x:c r="B90" s="15" t="s">
        <x:v>53</x:v>
      </x:c>
      <x:c r="C90" s="14" t="s">
        <x:v>143</x:v>
      </x:c>
      <x:c r="D90" s="6">
        <x:v>8</x:v>
      </x:c>
      <x:c r="E90" s="14" t="s">
        <x:v>250</x:v>
      </x:c>
      <x:c r="F90" s="1" t="s">
        <x:v>175</x:v>
      </x:c>
      <x:c r="G90" s="7">
        <x:f>'2026.9.7'!K86</x:f>
        <x:v>318</x:v>
      </x:c>
      <x:c r="H90" s="6">
        <x:f>SUM(I3:I14)*D90</x:f>
        <x:v>0</x:v>
      </x:c>
      <x:c r="I90" s="6"/>
      <x:c r="J90" s="6"/>
      <x:c r="K90" s="22">
        <x:f>G90+J90-H90-I90</x:f>
        <x:v>318</x:v>
      </x:c>
      <x:c r="L90" s="19">
        <x:f>K90/D90</x:f>
        <x:v>39.75</x:v>
      </x:c>
      <x:c r="M90" s="25" t="str">
        <x:f>IF(L90&lt;=10,119,"")</x:f>
        <x:v/>
      </x:c>
      <x:c r="O90" s="1"/>
    </x:row>
    <x:row r="91" spans="1:15" customFormat="1" ht="18" hidden="1" customHeight="1">
      <x:c r="A91" s="9" t="s">
        <x:v>176</x:v>
      </x:c>
      <x:c r="B91" s="15" t="s">
        <x:v>53</x:v>
      </x:c>
      <x:c r="C91" s="14" t="s">
        <x:v>143</x:v>
      </x:c>
      <x:c r="D91" s="6">
        <x:v>8</x:v>
      </x:c>
      <x:c r="E91" s="14" t="s">
        <x:v>239</x:v>
      </x:c>
      <x:c r="F91" s="1" t="s">
        <x:v>159</x:v>
      </x:c>
      <x:c r="G91" s="7">
        <x:f>'2026.9.7'!K87</x:f>
        <x:v>299</x:v>
      </x:c>
      <x:c r="H91" s="1">
        <x:f>SUM(I16:I19)*D91</x:f>
        <x:v>0</x:v>
      </x:c>
      <x:c r="I91" s="1"/>
      <x:c r="J91" s="1"/>
      <x:c r="K91" s="22">
        <x:f>G91+J91-H91-I91</x:f>
        <x:v>299</x:v>
      </x:c>
      <x:c r="L91" s="19">
        <x:f>K91/D91</x:f>
        <x:v>37.375</x:v>
      </x:c>
      <x:c r="M91" s="25" t="str">
        <x:f>IF(L91&lt;=10,119,"")</x:f>
        <x:v/>
      </x:c>
      <x:c r="O91" s="1"/>
    </x:row>
    <x:row r="92" spans="1:15" customFormat="1" ht="18" hidden="1" customHeight="1">
      <x:c r="A92" s="9" t="s">
        <x:v>176</x:v>
      </x:c>
      <x:c r="B92" s="15" t="s">
        <x:v>53</x:v>
      </x:c>
      <x:c r="C92" s="14" t="s">
        <x:v>143</x:v>
      </x:c>
      <x:c r="D92" s="6">
        <x:v>8</x:v>
      </x:c>
      <x:c r="E92" s="14" t="s">
        <x:v>70</x:v>
      </x:c>
      <x:c r="F92" s="7" t="s">
        <x:v>192</x:v>
      </x:c>
      <x:c r="G92" s="7">
        <x:f>'2026.9.7'!K88</x:f>
        <x:v>686</x:v>
      </x:c>
      <x:c r="H92" s="1">
        <x:f>I20*D92</x:f>
        <x:v>0</x:v>
      </x:c>
      <x:c r="I92" s="1"/>
      <x:c r="J92" s="1"/>
      <x:c r="K92" s="22">
        <x:f>G92+J92-H92-I92</x:f>
        <x:v>686</x:v>
      </x:c>
      <x:c r="L92" s="19">
        <x:f>K92/D92</x:f>
        <x:v>85.75</x:v>
      </x:c>
      <x:c r="M92" s="25" t="str">
        <x:f>IF(L92&lt;=10,119,"")</x:f>
        <x:v/>
      </x:c>
      <x:c r="O92" s="1"/>
    </x:row>
    <x:row r="93" spans="1:15" customFormat="1" ht="18" hidden="1" customHeight="1">
      <x:c r="A93" s="9" t="s">
        <x:v>176</x:v>
      </x:c>
      <x:c r="B93" s="15" t="s">
        <x:v>53</x:v>
      </x:c>
      <x:c r="C93" s="14" t="s">
        <x:v>143</x:v>
      </x:c>
      <x:c r="D93" s="6">
        <x:v>4</x:v>
      </x:c>
      <x:c r="E93" s="14" t="s">
        <x:v>276</x:v>
      </x:c>
      <x:c r="F93" s="6" t="s">
        <x:v>203</x:v>
      </x:c>
      <x:c r="G93" s="7">
        <x:f>'2026.9.7'!K89</x:f>
        <x:v>2</x:v>
      </x:c>
      <x:c r="H93" s="1">
        <x:f>SUM(I21:I22)*D93</x:f>
        <x:v>0</x:v>
      </x:c>
      <x:c r="I93" s="1"/>
      <x:c r="J93" s="1"/>
      <x:c r="K93" s="22">
        <x:f>G93+J93-H93-I93</x:f>
        <x:v>2</x:v>
      </x:c>
      <x:c r="L93" s="19">
        <x:f>K93/D93</x:f>
        <x:v>0.5</x:v>
      </x:c>
      <x:c r="M93" s="25">
        <x:f>IF(L93&lt;=10,119,"")</x:f>
        <x:v>119</x:v>
      </x:c>
      <x:c r="O93" s="1"/>
    </x:row>
    <x:row r="94" spans="1:15" customFormat="1" ht="18" customHeight="1">
      <x:c r="A94" s="9" t="s">
        <x:v>176</x:v>
      </x:c>
      <x:c r="B94" s="15" t="s">
        <x:v>53</x:v>
      </x:c>
      <x:c r="C94" s="14" t="s">
        <x:v>143</x:v>
      </x:c>
      <x:c r="D94" s="6">
        <x:v>8</x:v>
      </x:c>
      <x:c r="E94" s="14" t="s">
        <x:v>11</x:v>
      </x:c>
      <x:c r="F94" s="6" t="s">
        <x:v>30</x:v>
      </x:c>
      <x:c r="G94" s="7">
        <x:f>'2026.9.7'!K90</x:f>
        <x:v>31</x:v>
      </x:c>
      <x:c r="H94" s="1">
        <x:f>SUM(I23:I24)*D94</x:f>
        <x:v>8</x:v>
      </x:c>
      <x:c r="I94" s="1"/>
      <x:c r="J94" s="1"/>
      <x:c r="K94" s="22">
        <x:f>G94+J94-H94-I94</x:f>
        <x:v>23</x:v>
      </x:c>
      <x:c r="L94" s="19">
        <x:f>K94/D94</x:f>
        <x:v>2.875</x:v>
      </x:c>
      <x:c r="M94" s="25">
        <x:f>IF(L94&lt;=10,119,"")</x:f>
        <x:v>119</x:v>
      </x:c>
      <x:c r="O94" s="1"/>
    </x:row>
    <x:row r="95" spans="1:15" customFormat="1" ht="18" hidden="1" customHeight="1">
      <x:c r="A95" s="9" t="s">
        <x:v>176</x:v>
      </x:c>
      <x:c r="B95" s="15" t="s">
        <x:v>53</x:v>
      </x:c>
      <x:c r="C95" s="14" t="s">
        <x:v>140</x:v>
      </x:c>
      <x:c r="D95" s="1">
        <x:v>4</x:v>
      </x:c>
      <x:c r="E95" s="14" t="s">
        <x:v>83</x:v>
      </x:c>
      <x:c r="F95" s="1" t="s">
        <x:v>49</x:v>
      </x:c>
      <x:c r="G95" s="7">
        <x:f>'2026.9.7'!K91</x:f>
        <x:v>138</x:v>
      </x:c>
      <x:c r="H95" s="1">
        <x:f>K5*D95</x:f>
        <x:v>0</x:v>
      </x:c>
      <x:c r="I95" s="1"/>
      <x:c r="J95" s="1"/>
      <x:c r="K95" s="22">
        <x:f>G95+J95-H95-I95</x:f>
        <x:v>138</x:v>
      </x:c>
      <x:c r="L95" s="19">
        <x:f>K95/D95</x:f>
        <x:v>34.5</x:v>
      </x:c>
      <x:c r="M95" s="25" t="str">
        <x:f>IF(L95&lt;=10,119,"")</x:f>
        <x:v/>
      </x:c>
      <x:c r="O95" s="1"/>
    </x:row>
    <x:row r="96" spans="1:15" customFormat="1" ht="18" hidden="1" customHeight="1">
      <x:c r="A96" s="9" t="s">
        <x:v>176</x:v>
      </x:c>
      <x:c r="B96" s="15" t="s">
        <x:v>53</x:v>
      </x:c>
      <x:c r="C96" s="14" t="s">
        <x:v>140</x:v>
      </x:c>
      <x:c r="D96" s="1">
        <x:v>4</x:v>
      </x:c>
      <x:c r="E96" s="14" t="s">
        <x:v>8</x:v>
      </x:c>
      <x:c r="F96" s="7" t="s">
        <x:v>71</x:v>
      </x:c>
      <x:c r="G96" s="7">
        <x:f>'2026.9.7'!K92</x:f>
        <x:v>155</x:v>
      </x:c>
      <x:c r="H96" s="1">
        <x:f>SUM(K6:K7)*D96</x:f>
        <x:v>0</x:v>
      </x:c>
      <x:c r="I96" s="1"/>
      <x:c r="J96" s="1"/>
      <x:c r="K96" s="22">
        <x:f>G96+J96-H96-I96</x:f>
        <x:v>155</x:v>
      </x:c>
      <x:c r="L96" s="19">
        <x:f>K96/D96</x:f>
        <x:v>38.75</x:v>
      </x:c>
      <x:c r="M96" s="25" t="str">
        <x:f>IF(L96&lt;=10,119,"")</x:f>
        <x:v/>
      </x:c>
      <x:c r="O96" s="1"/>
    </x:row>
    <x:row r="97" spans="1:15" customFormat="1" ht="18" hidden="1" customHeight="1">
      <x:c r="A97" s="9" t="s">
        <x:v>176</x:v>
      </x:c>
      <x:c r="B97" s="15" t="s">
        <x:v>53</x:v>
      </x:c>
      <x:c r="C97" s="14" t="s">
        <x:v>140</x:v>
      </x:c>
      <x:c r="D97" s="1">
        <x:v>4</x:v>
      </x:c>
      <x:c r="E97" s="9" t="s">
        <x:v>73</x:v>
      </x:c>
      <x:c r="F97" s="7" t="s">
        <x:v>79</x:v>
      </x:c>
      <x:c r="G97" s="7">
        <x:f>'2026.9.7'!K93</x:f>
        <x:v>157</x:v>
      </x:c>
      <x:c r="H97" s="1">
        <x:f>K8*D97</x:f>
        <x:v>0</x:v>
      </x:c>
      <x:c r="I97" s="1"/>
      <x:c r="J97" s="1"/>
      <x:c r="K97" s="22">
        <x:f>G97+J97-H97-I97</x:f>
        <x:v>157</x:v>
      </x:c>
      <x:c r="L97" s="19">
        <x:f>K97/D97</x:f>
        <x:v>39.25</x:v>
      </x:c>
      <x:c r="M97" s="25" t="str">
        <x:f>IF(L97&lt;=10,119,"")</x:f>
        <x:v/>
      </x:c>
      <x:c r="O97" s="1"/>
    </x:row>
    <x:row r="98" spans="1:15" customFormat="1" ht="18" hidden="1" customHeight="1">
      <x:c r="A98" s="9" t="s">
        <x:v>176</x:v>
      </x:c>
      <x:c r="B98" s="15" t="s">
        <x:v>260</x:v>
      </x:c>
      <x:c r="C98" s="14" t="s">
        <x:v>160</x:v>
      </x:c>
      <x:c r="D98" s="1">
        <x:v>2</x:v>
      </x:c>
      <x:c r="E98" s="9" t="s">
        <x:v>250</x:v>
      </x:c>
      <x:c r="F98" s="7" t="s">
        <x:v>125</x:v>
      </x:c>
      <x:c r="G98" s="7">
        <x:f>'2026.9.7'!K94</x:f>
        <x:v>122</x:v>
      </x:c>
      <x:c r="H98" s="1">
        <x:f>SUM(I3:I14)*D98</x:f>
        <x:v>0</x:v>
      </x:c>
      <x:c r="I98" s="1"/>
      <x:c r="J98" s="1"/>
      <x:c r="K98" s="22">
        <x:f>G98+J98-H98-I98</x:f>
        <x:v>122</x:v>
      </x:c>
      <x:c r="L98" s="19">
        <x:f>K98/D98</x:f>
        <x:v>61</x:v>
      </x:c>
      <x:c r="M98" s="25" t="str">
        <x:f>IF(L98&lt;=10,119,"")</x:f>
        <x:v/>
      </x:c>
      <x:c r="O98" s="1"/>
    </x:row>
    <x:row r="99" spans="1:15" customFormat="1" ht="18" hidden="1" customHeight="1">
      <x:c r="A99" s="9" t="s">
        <x:v>176</x:v>
      </x:c>
      <x:c r="B99" s="15" t="s">
        <x:v>260</x:v>
      </x:c>
      <x:c r="C99" s="14" t="s">
        <x:v>160</x:v>
      </x:c>
      <x:c r="D99" s="6">
        <x:v>2</x:v>
      </x:c>
      <x:c r="E99" s="14" t="s">
        <x:v>239</x:v>
      </x:c>
      <x:c r="F99" s="1" t="s">
        <x:v>132</x:v>
      </x:c>
      <x:c r="G99" s="7">
        <x:f>'2026.9.7'!K95</x:f>
        <x:v>37</x:v>
      </x:c>
      <x:c r="H99" s="1">
        <x:f>SUM(I16:I19)*D99</x:f>
        <x:v>0</x:v>
      </x:c>
      <x:c r="I99" s="1"/>
      <x:c r="J99" s="1"/>
      <x:c r="K99" s="22">
        <x:f>G99+J99-H99-I99</x:f>
        <x:v>37</x:v>
      </x:c>
      <x:c r="L99" s="19">
        <x:f>K99/D99</x:f>
        <x:v>18.5</x:v>
      </x:c>
      <x:c r="M99" s="25" t="str">
        <x:f>IF(L99&lt;=10,119,"")</x:f>
        <x:v/>
      </x:c>
      <x:c r="O99" s="1"/>
    </x:row>
    <x:row r="100" spans="1:15" customFormat="1" ht="18" hidden="1" customHeight="1">
      <x:c r="A100" s="9" t="s">
        <x:v>176</x:v>
      </x:c>
      <x:c r="B100" s="15" t="s">
        <x:v>260</x:v>
      </x:c>
      <x:c r="C100" s="14" t="s">
        <x:v>160</x:v>
      </x:c>
      <x:c r="D100" s="6">
        <x:v>2</x:v>
      </x:c>
      <x:c r="E100" s="14" t="s">
        <x:v>70</x:v>
      </x:c>
      <x:c r="F100" s="7" t="s">
        <x:v>129</x:v>
      </x:c>
      <x:c r="G100" s="7">
        <x:f>'2026.9.7'!K96</x:f>
        <x:v>94</x:v>
      </x:c>
      <x:c r="H100" s="1">
        <x:f>I20*D100</x:f>
        <x:v>0</x:v>
      </x:c>
      <x:c r="I100" s="1"/>
      <x:c r="J100" s="1"/>
      <x:c r="K100" s="22">
        <x:f>G100+J100-H100-I100</x:f>
        <x:v>94</x:v>
      </x:c>
      <x:c r="L100" s="19">
        <x:f>K100/D100</x:f>
        <x:v>47</x:v>
      </x:c>
      <x:c r="M100" s="25" t="str">
        <x:f>IF(L100&lt;=10,119,"")</x:f>
        <x:v/>
      </x:c>
      <x:c r="O100" s="1"/>
    </x:row>
    <x:row r="101" spans="1:15" customFormat="1" ht="18" hidden="1" customHeight="1">
      <x:c r="A101" s="9" t="s">
        <x:v>176</x:v>
      </x:c>
      <x:c r="B101" s="15" t="s">
        <x:v>260</x:v>
      </x:c>
      <x:c r="C101" s="14" t="s">
        <x:v>177</x:v>
      </x:c>
      <x:c r="D101" s="6">
        <x:v>2</x:v>
      </x:c>
      <x:c r="E101" s="14" t="s">
        <x:v>22</x:v>
      </x:c>
      <x:c r="F101" s="6" t="s">
        <x:v>212</x:v>
      </x:c>
      <x:c r="G101" s="7">
        <x:f>'2026.9.7'!K97</x:f>
        <x:v>2</x:v>
      </x:c>
      <x:c r="H101" s="1">
        <x:f>I23*D101</x:f>
        <x:v>2</x:v>
      </x:c>
      <x:c r="I101" s="1"/>
      <x:c r="J101" s="1"/>
      <x:c r="K101" s="22">
        <x:f>G101+J101-H101-I101</x:f>
        <x:v>0</x:v>
      </x:c>
      <x:c r="L101" s="19">
        <x:f>K101/D101</x:f>
        <x:v>0</x:v>
      </x:c>
      <x:c r="M101" s="25">
        <x:f>IF(L101&lt;=10,119,"")</x:f>
        <x:v>119</x:v>
      </x:c>
      <x:c r="O101" s="1"/>
    </x:row>
    <x:row r="102" spans="1:15" customFormat="1" ht="18" hidden="1" customHeight="1">
      <x:c r="A102" s="9" t="s">
        <x:v>176</x:v>
      </x:c>
      <x:c r="B102" s="15" t="s">
        <x:v>260</x:v>
      </x:c>
      <x:c r="C102" s="14" t="s">
        <x:v>177</x:v>
      </x:c>
      <x:c r="D102" s="6">
        <x:v>2</x:v>
      </x:c>
      <x:c r="E102" s="14" t="s">
        <x:v>96</x:v>
      </x:c>
      <x:c r="F102" s="6" t="s">
        <x:v>225</x:v>
      </x:c>
      <x:c r="G102" s="7">
        <x:f>'2026.9.7'!K98</x:f>
        <x:v>4</x:v>
      </x:c>
      <x:c r="H102" s="1">
        <x:f>I24*D102</x:f>
        <x:v>0</x:v>
      </x:c>
      <x:c r="I102" s="1"/>
      <x:c r="J102" s="1"/>
      <x:c r="K102" s="22">
        <x:f>G102+J102-H102-I102</x:f>
        <x:v>4</x:v>
      </x:c>
      <x:c r="L102" s="19">
        <x:f>K102/D102</x:f>
        <x:v>2</x:v>
      </x:c>
      <x:c r="M102" s="25">
        <x:f>IF(L102&lt;=10,119,"")</x:f>
        <x:v>119</x:v>
      </x:c>
      <x:c r="O102" s="1"/>
    </x:row>
    <x:row r="103" spans="1:15" customFormat="1" ht="18" hidden="1" customHeight="1">
      <x:c r="A103" s="9" t="s">
        <x:v>176</x:v>
      </x:c>
      <x:c r="B103" s="15" t="s">
        <x:v>256</x:v>
      </x:c>
      <x:c r="C103" s="14" t="s">
        <x:v>161</x:v>
      </x:c>
      <x:c r="D103" s="6">
        <x:v>2</x:v>
      </x:c>
      <x:c r="E103" s="14" t="s">
        <x:v>250</x:v>
      </x:c>
      <x:c r="F103" s="1" t="s">
        <x:v>152</x:v>
      </x:c>
      <x:c r="G103" s="7">
        <x:f>'2026.9.7'!K99</x:f>
        <x:v>72</x:v>
      </x:c>
      <x:c r="H103" s="6">
        <x:f>SUM(I3:I14)*D103</x:f>
        <x:v>0</x:v>
      </x:c>
      <x:c r="I103" s="6"/>
      <x:c r="J103" s="6"/>
      <x:c r="K103" s="22">
        <x:f>G103+J103-H103-I103</x:f>
        <x:v>72</x:v>
      </x:c>
      <x:c r="L103" s="19">
        <x:f>K103/D103</x:f>
        <x:v>36</x:v>
      </x:c>
      <x:c r="M103" s="25" t="str">
        <x:f>IF(L103&lt;=10,119,"")</x:f>
        <x:v/>
      </x:c>
      <x:c r="O103" s="1"/>
    </x:row>
    <x:row r="104" spans="1:15" customFormat="1" ht="18" hidden="1" customHeight="1">
      <x:c r="A104" s="9" t="s">
        <x:v>176</x:v>
      </x:c>
      <x:c r="B104" s="15" t="s">
        <x:v>256</x:v>
      </x:c>
      <x:c r="C104" s="14" t="s">
        <x:v>161</x:v>
      </x:c>
      <x:c r="D104" s="6">
        <x:v>2</x:v>
      </x:c>
      <x:c r="E104" s="14" t="s">
        <x:v>239</x:v>
      </x:c>
      <x:c r="F104" s="1" t="s">
        <x:v>141</x:v>
      </x:c>
      <x:c r="G104" s="7">
        <x:f>'2026.9.7'!K100</x:f>
        <x:v>41</x:v>
      </x:c>
      <x:c r="H104" s="1">
        <x:f>SUM(I16:I19)*D104</x:f>
        <x:v>0</x:v>
      </x:c>
      <x:c r="I104" s="1"/>
      <x:c r="J104" s="1"/>
      <x:c r="K104" s="22">
        <x:f>G104+J104-H104-I104</x:f>
        <x:v>41</x:v>
      </x:c>
      <x:c r="L104" s="19">
        <x:f>K104/D104</x:f>
        <x:v>20.5</x:v>
      </x:c>
      <x:c r="M104" s="25" t="str">
        <x:f>IF(L104&lt;=10,119,"")</x:f>
        <x:v/>
      </x:c>
      <x:c r="O104" s="1"/>
    </x:row>
    <x:row r="105" spans="1:15" customFormat="1" ht="18" hidden="1" customHeight="1">
      <x:c r="A105" s="9" t="s">
        <x:v>176</x:v>
      </x:c>
      <x:c r="B105" s="15" t="s">
        <x:v>256</x:v>
      </x:c>
      <x:c r="C105" s="14" t="s">
        <x:v>161</x:v>
      </x:c>
      <x:c r="D105" s="6">
        <x:v>2</x:v>
      </x:c>
      <x:c r="E105" s="14" t="s">
        <x:v>70</x:v>
      </x:c>
      <x:c r="F105" s="7" t="s">
        <x:v>138</x:v>
      </x:c>
      <x:c r="G105" s="7">
        <x:f>'2026.9.7'!K101</x:f>
        <x:v>32</x:v>
      </x:c>
      <x:c r="H105" s="1">
        <x:f>I20*D105</x:f>
        <x:v>0</x:v>
      </x:c>
      <x:c r="I105" s="1"/>
      <x:c r="J105" s="1"/>
      <x:c r="K105" s="22">
        <x:f>G105+J105-H105-I105</x:f>
        <x:v>32</x:v>
      </x:c>
      <x:c r="L105" s="19">
        <x:f>K105/D105</x:f>
        <x:v>16</x:v>
      </x:c>
      <x:c r="M105" s="25" t="str">
        <x:f>IF(L105&lt;=10,119,"")</x:f>
        <x:v/>
      </x:c>
      <x:c r="O105" s="1"/>
    </x:row>
    <x:row r="106" spans="1:15" customFormat="1" ht="18" hidden="1" customHeight="1">
      <x:c r="A106" s="9" t="s">
        <x:v>176</x:v>
      </x:c>
      <x:c r="B106" s="15" t="s">
        <x:v>256</x:v>
      </x:c>
      <x:c r="C106" s="14" t="s">
        <x:v>161</x:v>
      </x:c>
      <x:c r="D106" s="6">
        <x:v>2</x:v>
      </x:c>
      <x:c r="E106" s="14" t="s">
        <x:v>22</x:v>
      </x:c>
      <x:c r="F106" s="6" t="s">
        <x:v>179</x:v>
      </x:c>
      <x:c r="G106" s="7">
        <x:f>'2026.9.7'!K102</x:f>
        <x:v>2</x:v>
      </x:c>
      <x:c r="H106" s="1">
        <x:f>I23*D106</x:f>
        <x:v>2</x:v>
      </x:c>
      <x:c r="I106" s="1"/>
      <x:c r="J106" s="1"/>
      <x:c r="K106" s="22">
        <x:f>G106+J106-H106-I106</x:f>
        <x:v>0</x:v>
      </x:c>
      <x:c r="L106" s="19">
        <x:f>K106/D106</x:f>
        <x:v>0</x:v>
      </x:c>
      <x:c r="M106" s="25">
        <x:f>IF(L106&lt;=10,119,"")</x:f>
        <x:v>119</x:v>
      </x:c>
      <x:c r="O106" s="1"/>
    </x:row>
    <x:row r="107" spans="1:15" customFormat="1" ht="18" hidden="1" customHeight="1">
      <x:c r="A107" s="9" t="s">
        <x:v>176</x:v>
      </x:c>
      <x:c r="B107" s="15" t="s">
        <x:v>256</x:v>
      </x:c>
      <x:c r="C107" s="14" t="s">
        <x:v>161</x:v>
      </x:c>
      <x:c r="D107" s="6">
        <x:v>2</x:v>
      </x:c>
      <x:c r="E107" s="14" t="s">
        <x:v>96</x:v>
      </x:c>
      <x:c r="F107" s="6" t="s">
        <x:v>202</x:v>
      </x:c>
      <x:c r="G107" s="7">
        <x:f>'2026.9.7'!K103</x:f>
        <x:v>4</x:v>
      </x:c>
      <x:c r="H107" s="1">
        <x:f>I24*D107</x:f>
        <x:v>0</x:v>
      </x:c>
      <x:c r="I107" s="1"/>
      <x:c r="J107" s="1"/>
      <x:c r="K107" s="22">
        <x:f>G107+J107-H107-I107</x:f>
        <x:v>4</x:v>
      </x:c>
      <x:c r="L107" s="19">
        <x:f>K107/D107</x:f>
        <x:v>2</x:v>
      </x:c>
      <x:c r="M107" s="25">
        <x:f>IF(L107&lt;=10,119,"")</x:f>
        <x:v>119</x:v>
      </x:c>
      <x:c r="O107" s="1"/>
    </x:row>
    <x:row r="108" spans="1:15" customFormat="1" ht="18" hidden="1" customHeight="1">
      <x:c r="A108" s="9" t="s">
        <x:v>176</x:v>
      </x:c>
      <x:c r="B108" s="15" t="s">
        <x:v>240</x:v>
      </x:c>
      <x:c r="C108" s="14" t="s">
        <x:v>181</x:v>
      </x:c>
      <x:c r="D108" s="6">
        <x:v>2</x:v>
      </x:c>
      <x:c r="E108" s="14" t="s">
        <x:v>250</x:v>
      </x:c>
      <x:c r="F108" s="1" t="s">
        <x:v>235</x:v>
      </x:c>
      <x:c r="G108" s="7">
        <x:f>'2026.9.7'!K104</x:f>
        <x:v>68</x:v>
      </x:c>
      <x:c r="H108" s="1">
        <x:f>SUM(I3:I14)*D108</x:f>
        <x:v>0</x:v>
      </x:c>
      <x:c r="I108" s="1"/>
      <x:c r="J108" s="1"/>
      <x:c r="K108" s="22">
        <x:f>G108+J108-H108-I108</x:f>
        <x:v>68</x:v>
      </x:c>
      <x:c r="L108" s="19">
        <x:f>K108/D108</x:f>
        <x:v>34</x:v>
      </x:c>
      <x:c r="M108" s="25" t="str">
        <x:f>IF(L108&lt;=10,119,"")</x:f>
        <x:v/>
      </x:c>
      <x:c r="O108" s="1"/>
    </x:row>
    <x:row r="109" spans="1:15" customFormat="1" ht="18" hidden="1" customHeight="1">
      <x:c r="A109" s="9" t="s">
        <x:v>176</x:v>
      </x:c>
      <x:c r="B109" s="15" t="s">
        <x:v>240</x:v>
      </x:c>
      <x:c r="C109" s="14" t="s">
        <x:v>181</x:v>
      </x:c>
      <x:c r="D109" s="6">
        <x:v>2</x:v>
      </x:c>
      <x:c r="E109" s="14" t="s">
        <x:v>239</x:v>
      </x:c>
      <x:c r="F109" s="1" t="s">
        <x:v>238</x:v>
      </x:c>
      <x:c r="G109" s="7">
        <x:f>'2026.9.7'!K105</x:f>
        <x:v>10</x:v>
      </x:c>
      <x:c r="H109" s="1">
        <x:f>SUM(I16:I19)*D109</x:f>
        <x:v>0</x:v>
      </x:c>
      <x:c r="I109" s="1"/>
      <x:c r="J109" s="1"/>
      <x:c r="K109" s="22">
        <x:f>G109+J109-H109-I109</x:f>
        <x:v>10</x:v>
      </x:c>
      <x:c r="L109" s="19">
        <x:f>K109/D109</x:f>
        <x:v>5</x:v>
      </x:c>
      <x:c r="M109" s="25">
        <x:f>IF(L109&lt;=10,119,"")</x:f>
        <x:v>119</x:v>
      </x:c>
      <x:c r="O109" s="1"/>
    </x:row>
    <x:row r="110" spans="1:15" customFormat="1" ht="18" hidden="1" customHeight="1">
      <x:c r="A110" s="9" t="s">
        <x:v>176</x:v>
      </x:c>
      <x:c r="B110" s="15" t="s">
        <x:v>240</x:v>
      </x:c>
      <x:c r="C110" s="14" t="s">
        <x:v>181</x:v>
      </x:c>
      <x:c r="D110" s="6">
        <x:v>2</x:v>
      </x:c>
      <x:c r="E110" s="14" t="s">
        <x:v>70</x:v>
      </x:c>
      <x:c r="F110" s="1" t="s">
        <x:v>100</x:v>
      </x:c>
      <x:c r="G110" s="7">
        <x:f>'2026.9.7'!K106</x:f>
        <x:v>30</x:v>
      </x:c>
      <x:c r="H110" s="1">
        <x:f>SUM(I20)*D110</x:f>
        <x:v>0</x:v>
      </x:c>
      <x:c r="I110" s="1"/>
      <x:c r="J110" s="1"/>
      <x:c r="K110" s="22">
        <x:f>G110+J110-H110-I110</x:f>
        <x:v>30</x:v>
      </x:c>
      <x:c r="L110" s="19">
        <x:f>K110/D110</x:f>
        <x:v>15</x:v>
      </x:c>
      <x:c r="M110" s="25" t="str">
        <x:f>IF(L110&lt;=10,119,"")</x:f>
        <x:v/>
      </x:c>
      <x:c r="O110" s="1"/>
    </x:row>
    <x:row r="111" spans="1:15" customFormat="1" ht="18" hidden="1" customHeight="1">
      <x:c r="A111" s="9" t="s">
        <x:v>176</x:v>
      </x:c>
      <x:c r="B111" s="15" t="s">
        <x:v>240</x:v>
      </x:c>
      <x:c r="C111" s="14" t="s">
        <x:v>181</x:v>
      </x:c>
      <x:c r="D111" s="6">
        <x:v>2</x:v>
      </x:c>
      <x:c r="E111" s="14" t="s">
        <x:v>22</x:v>
      </x:c>
      <x:c r="F111" s="1" t="s">
        <x:v>116</x:v>
      </x:c>
      <x:c r="G111" s="7">
        <x:f>'2026.9.7'!K107</x:f>
        <x:v>2</x:v>
      </x:c>
      <x:c r="H111" s="1">
        <x:f>I23*D111</x:f>
        <x:v>2</x:v>
      </x:c>
      <x:c r="I111" s="1"/>
      <x:c r="J111" s="1"/>
      <x:c r="K111" s="22">
        <x:f>G111+J111-H111-I111</x:f>
        <x:v>0</x:v>
      </x:c>
      <x:c r="L111" s="19">
        <x:f>K111/D111</x:f>
        <x:v>0</x:v>
      </x:c>
      <x:c r="M111" s="25">
        <x:f>IF(L111&lt;=10,119,"")</x:f>
        <x:v>119</x:v>
      </x:c>
      <x:c r="O111" s="1"/>
    </x:row>
    <x:row r="112" spans="1:15" customFormat="1" ht="18" hidden="1" customHeight="1">
      <x:c r="A112" s="9" t="s">
        <x:v>176</x:v>
      </x:c>
      <x:c r="B112" s="15" t="s">
        <x:v>240</x:v>
      </x:c>
      <x:c r="C112" s="14" t="s">
        <x:v>181</x:v>
      </x:c>
      <x:c r="D112" s="6">
        <x:v>2</x:v>
      </x:c>
      <x:c r="E112" s="14" t="s">
        <x:v>96</x:v>
      </x:c>
      <x:c r="F112" s="1" t="s">
        <x:v>91</x:v>
      </x:c>
      <x:c r="G112" s="7">
        <x:f>'2026.9.7'!K108</x:f>
        <x:v>5</x:v>
      </x:c>
      <x:c r="H112" s="1">
        <x:f>I24*D112</x:f>
        <x:v>0</x:v>
      </x:c>
      <x:c r="I112" s="1"/>
      <x:c r="J112" s="1"/>
      <x:c r="K112" s="22">
        <x:f>G112+J112-H112-I112</x:f>
        <x:v>5</x:v>
      </x:c>
      <x:c r="L112" s="19">
        <x:f>K112/D112</x:f>
        <x:v>2.5</x:v>
      </x:c>
      <x:c r="M112" s="25">
        <x:f>IF(L112&lt;=10,119,"")</x:f>
        <x:v>119</x:v>
      </x:c>
      <x:c r="O112" s="1"/>
    </x:row>
    <x:row r="113" spans="1:15" customFormat="1" ht="18" hidden="1" customHeight="1">
      <x:c r="A113" s="9" t="s">
        <x:v>176</x:v>
      </x:c>
      <x:c r="B113" s="15" t="s">
        <x:v>10</x:v>
      </x:c>
      <x:c r="C113" s="14" t="s">
        <x:v>181</x:v>
      </x:c>
      <x:c r="D113" s="6">
        <x:v>1</x:v>
      </x:c>
      <x:c r="E113" s="14" t="s">
        <x:v>241</x:v>
      </x:c>
      <x:c r="F113" s="1" t="s">
        <x:v>40</x:v>
      </x:c>
      <x:c r="G113" s="7">
        <x:f>'2026.9.7'!K109</x:f>
        <x:v>44</x:v>
      </x:c>
      <x:c r="H113" s="1">
        <x:f>SUM(I3:I19)*D113</x:f>
        <x:v>0</x:v>
      </x:c>
      <x:c r="I113" s="1"/>
      <x:c r="J113" s="1"/>
      <x:c r="K113" s="22">
        <x:f>G113+J113-H113-I113</x:f>
        <x:v>44</x:v>
      </x:c>
      <x:c r="L113" s="19">
        <x:f>K113/D113</x:f>
        <x:v>44</x:v>
      </x:c>
      <x:c r="M113" s="25" t="str">
        <x:f>IF(L113&lt;=10,119,"")</x:f>
        <x:v/>
      </x:c>
      <x:c r="O113" s="1"/>
    </x:row>
    <x:row r="114" spans="1:15" customFormat="1" ht="18" hidden="1" customHeight="1">
      <x:c r="A114" s="9" t="s">
        <x:v>176</x:v>
      </x:c>
      <x:c r="B114" s="15" t="s">
        <x:v>10</x:v>
      </x:c>
      <x:c r="C114" s="14" t="s">
        <x:v>181</x:v>
      </x:c>
      <x:c r="D114" s="6">
        <x:v>1</x:v>
      </x:c>
      <x:c r="E114" s="14" t="s">
        <x:v>70</x:v>
      </x:c>
      <x:c r="F114" s="1" t="s">
        <x:v>100</x:v>
      </x:c>
      <x:c r="G114" s="7">
        <x:f>'2026.9.7'!K110</x:f>
        <x:v>17</x:v>
      </x:c>
      <x:c r="H114" s="1">
        <x:f>SUM(H20)*D114</x:f>
        <x:v>0</x:v>
      </x:c>
      <x:c r="I114" s="1"/>
      <x:c r="J114" s="1"/>
      <x:c r="K114" s="22">
        <x:f>G114+J114-H114-I114</x:f>
        <x:v>17</x:v>
      </x:c>
      <x:c r="L114" s="19">
        <x:f>K114/D114</x:f>
        <x:v>17</x:v>
      </x:c>
      <x:c r="M114" s="25" t="str">
        <x:f>IF(L114&lt;=10,119,"")</x:f>
        <x:v/>
      </x:c>
      <x:c r="O114" s="1"/>
    </x:row>
    <x:row r="115" spans="1:15" customFormat="1" ht="18" hidden="1" customHeight="1">
      <x:c r="A115" s="9" t="s">
        <x:v>176</x:v>
      </x:c>
      <x:c r="B115" s="15" t="s">
        <x:v>10</x:v>
      </x:c>
      <x:c r="C115" s="14" t="s">
        <x:v>181</x:v>
      </x:c>
      <x:c r="D115" s="6">
        <x:v>1</x:v>
      </x:c>
      <x:c r="E115" s="14" t="s">
        <x:v>244</x:v>
      </x:c>
      <x:c r="F115" s="1" t="s">
        <x:v>89</x:v>
      </x:c>
      <x:c r="G115" s="7">
        <x:f>'2026.9.7'!K111</x:f>
        <x:v>0</x:v>
      </x:c>
      <x:c r="H115" s="1">
        <x:f>I21</x:f>
        <x:v>0</x:v>
      </x:c>
      <x:c r="I115" s="1"/>
      <x:c r="J115" s="1"/>
      <x:c r="K115" s="22">
        <x:f>G115+J115-H115-I115</x:f>
        <x:v>0</x:v>
      </x:c>
      <x:c r="L115" s="19">
        <x:f>K115/D115</x:f>
        <x:v>0</x:v>
      </x:c>
      <x:c r="M115" s="25">
        <x:f>IF(L115&lt;=10,119,"")</x:f>
        <x:v>119</x:v>
      </x:c>
      <x:c r="O115" s="1"/>
    </x:row>
    <x:row r="116" spans="1:15" customFormat="1" ht="18" hidden="1" customHeight="1">
      <x:c r="A116" s="9" t="s">
        <x:v>176</x:v>
      </x:c>
      <x:c r="B116" s="15" t="s">
        <x:v>10</x:v>
      </x:c>
      <x:c r="C116" s="14" t="s">
        <x:v>181</x:v>
      </x:c>
      <x:c r="D116" s="6">
        <x:v>1</x:v>
      </x:c>
      <x:c r="E116" s="14" t="s">
        <x:v>247</x:v>
      </x:c>
      <x:c r="F116" s="1" t="s">
        <x:v>86</x:v>
      </x:c>
      <x:c r="G116" s="7">
        <x:f>'2026.9.7'!K112</x:f>
        <x:v>0</x:v>
      </x:c>
      <x:c r="H116" s="1">
        <x:f>I22</x:f>
        <x:v>0</x:v>
      </x:c>
      <x:c r="I116" s="1"/>
      <x:c r="J116" s="1"/>
      <x:c r="K116" s="22">
        <x:f>G116+J116-H116-I116</x:f>
        <x:v>0</x:v>
      </x:c>
      <x:c r="L116" s="19">
        <x:f>K116/D116</x:f>
        <x:v>0</x:v>
      </x:c>
      <x:c r="M116" s="25">
        <x:f>IF(L116&lt;=10,119,"")</x:f>
        <x:v>119</x:v>
      </x:c>
      <x:c r="O116" s="1"/>
    </x:row>
    <x:row r="117" spans="1:15" customFormat="1" ht="18" customHeight="1">
      <x:c r="A117" s="9" t="s">
        <x:v>176</x:v>
      </x:c>
      <x:c r="B117" s="15" t="s">
        <x:v>10</x:v>
      </x:c>
      <x:c r="C117" s="14" t="s">
        <x:v>181</x:v>
      </x:c>
      <x:c r="D117" s="6">
        <x:v>1</x:v>
      </x:c>
      <x:c r="E117" s="14" t="s">
        <x:v>11</x:v>
      </x:c>
      <x:c r="F117" s="1" t="s">
        <x:v>109</x:v>
      </x:c>
      <x:c r="G117" s="7">
        <x:f>'2026.9.7'!K113</x:f>
        <x:v>3</x:v>
      </x:c>
      <x:c r="H117" s="1">
        <x:f>SUM(I23:I24)*D117</x:f>
        <x:v>1</x:v>
      </x:c>
      <x:c r="I117" s="1"/>
      <x:c r="J117" s="1"/>
      <x:c r="K117" s="22">
        <x:f>G117+J117-H117-I117</x:f>
        <x:v>2</x:v>
      </x:c>
      <x:c r="L117" s="19">
        <x:f>K117/D117</x:f>
        <x:v>2</x:v>
      </x:c>
      <x:c r="M117" s="25">
        <x:f>IF(L117&lt;=10,119,"")</x:f>
        <x:v>119</x:v>
      </x:c>
      <x:c r="O117" s="1"/>
    </x:row>
    <x:row r="118" spans="1:15" customFormat="1" ht="18" hidden="1" customHeight="1">
      <x:c r="A118" s="9" t="s">
        <x:v>176</x:v>
      </x:c>
      <x:c r="B118" s="15" t="s">
        <x:v>10</x:v>
      </x:c>
      <x:c r="C118" s="14" t="s">
        <x:v>137</x:v>
      </x:c>
      <x:c r="D118" s="6">
        <x:v>1</x:v>
      </x:c>
      <x:c r="E118" s="14" t="s">
        <x:v>83</x:v>
      </x:c>
      <x:c r="F118" s="1"/>
      <x:c r="G118" s="6">
        <x:v>0</x:v>
      </x:c>
      <x:c r="H118" s="1">
        <x:f>K5*D118</x:f>
        <x:v>0</x:v>
      </x:c>
      <x:c r="I118" s="1"/>
      <x:c r="J118" s="1"/>
      <x:c r="K118" s="22">
        <x:f>G118+J118-H118-I118</x:f>
        <x:v>0</x:v>
      </x:c>
      <x:c r="L118" s="19">
        <x:f>K118/D118</x:f>
        <x:v>0</x:v>
      </x:c>
      <x:c r="M118" s="25">
        <x:f>IF(L118&lt;=10,119,"")</x:f>
        <x:v>119</x:v>
      </x:c>
      <x:c r="O118" s="1"/>
    </x:row>
    <x:row r="119" spans="1:15" customFormat="1" ht="18" hidden="1" customHeight="1">
      <x:c r="A119" s="9" t="s">
        <x:v>176</x:v>
      </x:c>
      <x:c r="B119" s="15" t="s">
        <x:v>10</x:v>
      </x:c>
      <x:c r="C119" s="14" t="s">
        <x:v>137</x:v>
      </x:c>
      <x:c r="D119" s="6">
        <x:v>1</x:v>
      </x:c>
      <x:c r="E119" s="14" t="s">
        <x:v>41</x:v>
      </x:c>
      <x:c r="F119" s="1"/>
      <x:c r="G119" s="6">
        <x:v>0</x:v>
      </x:c>
      <x:c r="H119" s="1">
        <x:f>K6*D119</x:f>
        <x:v>0</x:v>
      </x:c>
      <x:c r="I119" s="1"/>
      <x:c r="J119" s="1"/>
      <x:c r="K119" s="22">
        <x:f>G119+J119-H119-I119</x:f>
        <x:v>0</x:v>
      </x:c>
      <x:c r="L119" s="19">
        <x:f>K119/D119</x:f>
        <x:v>0</x:v>
      </x:c>
      <x:c r="M119" s="25">
        <x:f>IF(L119&lt;=10,119,"")</x:f>
        <x:v>119</x:v>
      </x:c>
      <x:c r="O119" s="1"/>
    </x:row>
    <x:row r="120" spans="1:15" customFormat="1" ht="18" hidden="1" customHeight="1">
      <x:c r="A120" s="9" t="s">
        <x:v>176</x:v>
      </x:c>
      <x:c r="B120" s="15" t="s">
        <x:v>10</x:v>
      </x:c>
      <x:c r="C120" s="14" t="s">
        <x:v>143</x:v>
      </x:c>
      <x:c r="D120" s="6">
        <x:v>1</x:v>
      </x:c>
      <x:c r="E120" s="14" t="s">
        <x:v>47</x:v>
      </x:c>
      <x:c r="F120" s="1" t="s">
        <x:v>113</x:v>
      </x:c>
      <x:c r="G120" s="6">
        <x:v>9</x:v>
      </x:c>
      <x:c r="H120" s="1">
        <x:f>K7*D120</x:f>
        <x:v>0</x:v>
      </x:c>
      <x:c r="I120" s="1"/>
      <x:c r="J120" s="1"/>
      <x:c r="K120" s="22">
        <x:f>G120+J120-H120-I120</x:f>
        <x:v>9</x:v>
      </x:c>
      <x:c r="L120" s="19">
        <x:f>K120/D120</x:f>
        <x:v>9</x:v>
      </x:c>
      <x:c r="M120" s="25">
        <x:f>IF(L120&lt;=10,119,"")</x:f>
        <x:v>119</x:v>
      </x:c>
      <x:c r="O120" s="1"/>
    </x:row>
    <x:row r="121" spans="1:15" customFormat="1" ht="18" hidden="1" customHeight="1">
      <x:c r="A121" s="9" t="s">
        <x:v>176</x:v>
      </x:c>
      <x:c r="B121" s="15" t="s">
        <x:v>10</x:v>
      </x:c>
      <x:c r="C121" s="14" t="s">
        <x:v>143</x:v>
      </x:c>
      <x:c r="D121" s="6">
        <x:v>1</x:v>
      </x:c>
      <x:c r="E121" s="9" t="s">
        <x:v>73</x:v>
      </x:c>
      <x:c r="F121" s="1" t="s">
        <x:v>105</x:v>
      </x:c>
      <x:c r="G121" s="6">
        <x:v>5</x:v>
      </x:c>
      <x:c r="H121" s="1">
        <x:f>K8*D121</x:f>
        <x:v>0</x:v>
      </x:c>
      <x:c r="I121" s="1"/>
      <x:c r="J121" s="1"/>
      <x:c r="K121" s="22">
        <x:f>G121+J121-H121-I121</x:f>
        <x:v>5</x:v>
      </x:c>
      <x:c r="L121" s="19">
        <x:f>K121/D121</x:f>
        <x:v>5</x:v>
      </x:c>
      <x:c r="M121" s="25">
        <x:f>IF(L121&lt;=10,119,"")</x:f>
        <x:v>119</x:v>
      </x:c>
      <x:c r="O121" s="1"/>
    </x:row>
    <x:row r="122" spans="1:15" customFormat="1" ht="18" hidden="1" customHeight="1">
      <x:c r="A122" s="9" t="s">
        <x:v>176</x:v>
      </x:c>
      <x:c r="B122" s="15" t="s">
        <x:v>34</x:v>
      </x:c>
      <x:c r="C122" s="14" t="s">
        <x:v>181</x:v>
      </x:c>
      <x:c r="D122" s="6">
        <x:v>1</x:v>
      </x:c>
      <x:c r="E122" s="14" t="s">
        <x:v>241</x:v>
      </x:c>
      <x:c r="F122" s="1" t="s">
        <x:v>207</x:v>
      </x:c>
      <x:c r="G122" s="7">
        <x:f>'2026.9.7'!K114</x:f>
        <x:v>46</x:v>
      </x:c>
      <x:c r="H122" s="1">
        <x:f>SUM(I3:I18)*D122</x:f>
        <x:v>0</x:v>
      </x:c>
      <x:c r="I122" s="1"/>
      <x:c r="J122" s="1"/>
      <x:c r="K122" s="22">
        <x:f>G122+J122-H122-I122</x:f>
        <x:v>46</x:v>
      </x:c>
      <x:c r="L122" s="19">
        <x:f>K122/D122</x:f>
        <x:v>46</x:v>
      </x:c>
      <x:c r="M122" s="25" t="str">
        <x:f>IF(L122&lt;=10,119,"")</x:f>
        <x:v/>
      </x:c>
      <x:c r="O122" s="1"/>
    </x:row>
    <x:row r="123" spans="1:15" customFormat="1" ht="18" hidden="1" customHeight="1">
      <x:c r="A123" s="9" t="s">
        <x:v>176</x:v>
      </x:c>
      <x:c r="B123" s="15" t="s">
        <x:v>34</x:v>
      </x:c>
      <x:c r="C123" s="14" t="s">
        <x:v>181</x:v>
      </x:c>
      <x:c r="D123" s="6">
        <x:v>1</x:v>
      </x:c>
      <x:c r="E123" s="14" t="s">
        <x:v>70</x:v>
      </x:c>
      <x:c r="F123" s="1" t="s">
        <x:v>190</x:v>
      </x:c>
      <x:c r="G123" s="7">
        <x:f>'2026.9.7'!K115</x:f>
        <x:v>78</x:v>
      </x:c>
      <x:c r="H123" s="1">
        <x:f>SUM(I20)*D123</x:f>
        <x:v>0</x:v>
      </x:c>
      <x:c r="I123" s="1"/>
      <x:c r="J123" s="1"/>
      <x:c r="K123" s="22">
        <x:f>G123+J123-H123-I123</x:f>
        <x:v>78</x:v>
      </x:c>
      <x:c r="L123" s="19">
        <x:f>K123/D123</x:f>
        <x:v>78</x:v>
      </x:c>
      <x:c r="M123" s="25" t="str">
        <x:f>IF(L123&lt;=10,119,"")</x:f>
        <x:v/>
      </x:c>
      <x:c r="O123" s="1"/>
    </x:row>
    <x:row r="124" spans="1:15" customFormat="1" ht="18" hidden="1" customHeight="1">
      <x:c r="A124" s="9" t="s">
        <x:v>176</x:v>
      </x:c>
      <x:c r="B124" s="15" t="s">
        <x:v>34</x:v>
      </x:c>
      <x:c r="C124" s="14" t="s">
        <x:v>181</x:v>
      </x:c>
      <x:c r="D124" s="6">
        <x:v>1</x:v>
      </x:c>
      <x:c r="E124" s="14" t="s">
        <x:v>276</x:v>
      </x:c>
      <x:c r="F124" s="1" t="s">
        <x:v>111</x:v>
      </x:c>
      <x:c r="G124" s="7">
        <x:f>'2026.9.7'!K116</x:f>
        <x:v>0</x:v>
      </x:c>
      <x:c r="H124" s="1">
        <x:f>SUM(I21:I22)*D124</x:f>
        <x:v>0</x:v>
      </x:c>
      <x:c r="I124" s="1"/>
      <x:c r="J124" s="1"/>
      <x:c r="K124" s="22">
        <x:f>G124+J124-H124-I124</x:f>
        <x:v>0</x:v>
      </x:c>
      <x:c r="L124" s="19">
        <x:f>K124/D124</x:f>
        <x:v>0</x:v>
      </x:c>
      <x:c r="M124" s="25">
        <x:f>IF(L124&lt;=10,119,"")</x:f>
        <x:v>119</x:v>
      </x:c>
      <x:c r="O124" s="1"/>
    </x:row>
    <x:row r="125" spans="1:15" customFormat="1" ht="18" customHeight="1">
      <x:c r="A125" s="9" t="s">
        <x:v>176</x:v>
      </x:c>
      <x:c r="B125" s="15" t="s">
        <x:v>34</x:v>
      </x:c>
      <x:c r="C125" s="14" t="s">
        <x:v>181</x:v>
      </x:c>
      <x:c r="D125" s="6">
        <x:v>1</x:v>
      </x:c>
      <x:c r="E125" s="14" t="s">
        <x:v>11</x:v>
      </x:c>
      <x:c r="F125" s="1" t="s">
        <x:v>115</x:v>
      </x:c>
      <x:c r="G125" s="7">
        <x:f>'2026.9.7'!K117</x:f>
        <x:v>3</x:v>
      </x:c>
      <x:c r="H125" s="1">
        <x:f>SUM(I23:I24)*D125</x:f>
        <x:v>1</x:v>
      </x:c>
      <x:c r="I125" s="1"/>
      <x:c r="J125" s="1"/>
      <x:c r="K125" s="22">
        <x:f>G125+J125-H125-I125</x:f>
        <x:v>2</x:v>
      </x:c>
      <x:c r="L125" s="19">
        <x:f>K125/D125</x:f>
        <x:v>2</x:v>
      </x:c>
      <x:c r="M125" s="25">
        <x:f>IF(L125&lt;=10,119,"")</x:f>
        <x:v>119</x:v>
      </x:c>
      <x:c r="O125" s="1"/>
    </x:row>
    <x:row r="126" spans="1:15" customFormat="1" ht="18" hidden="1" customHeight="1">
      <x:c r="A126" s="9" t="s">
        <x:v>176</x:v>
      </x:c>
      <x:c r="B126" s="15" t="s">
        <x:v>29</x:v>
      </x:c>
      <x:c r="C126" s="14" t="s">
        <x:v>137</x:v>
      </x:c>
      <x:c r="D126" s="1">
        <x:v>1</x:v>
      </x:c>
      <x:c r="E126" s="14" t="s">
        <x:v>244</x:v>
      </x:c>
      <x:c r="F126" s="1" t="s">
        <x:v>227</x:v>
      </x:c>
      <x:c r="G126" s="7">
        <x:f>'2026.9.7'!K118</x:f>
        <x:v>0</x:v>
      </x:c>
      <x:c r="H126" s="1">
        <x:f>I21*D126</x:f>
        <x:v>0</x:v>
      </x:c>
      <x:c r="I126" s="1"/>
      <x:c r="J126" s="1"/>
      <x:c r="K126" s="22">
        <x:f>G126+J126-H126-I126</x:f>
        <x:v>0</x:v>
      </x:c>
      <x:c r="L126" s="19">
        <x:f>K126/D126</x:f>
        <x:v>0</x:v>
      </x:c>
      <x:c r="M126" s="25">
        <x:f>IF(L126&lt;=10,119,"")</x:f>
        <x:v>119</x:v>
      </x:c>
      <x:c r="O126" s="1"/>
    </x:row>
    <x:row r="127" spans="1:15" customFormat="1" ht="18" hidden="1" customHeight="1">
      <x:c r="A127" s="9" t="s">
        <x:v>176</x:v>
      </x:c>
      <x:c r="B127" s="15" t="s">
        <x:v>29</x:v>
      </x:c>
      <x:c r="C127" s="14" t="s">
        <x:v>137</x:v>
      </x:c>
      <x:c r="D127" s="1">
        <x:v>1</x:v>
      </x:c>
      <x:c r="E127" s="14" t="s">
        <x:v>247</x:v>
      </x:c>
      <x:c r="F127" s="1" t="s">
        <x:v>195</x:v>
      </x:c>
      <x:c r="G127" s="7">
        <x:f>'2026.9.7'!K119</x:f>
        <x:v>0</x:v>
      </x:c>
      <x:c r="H127" s="1">
        <x:f>I22*D127</x:f>
        <x:v>0</x:v>
      </x:c>
      <x:c r="I127" s="1"/>
      <x:c r="J127" s="1"/>
      <x:c r="K127" s="22">
        <x:f>G127+J127-H127-I127</x:f>
        <x:v>0</x:v>
      </x:c>
      <x:c r="L127" s="19">
        <x:f>K127/D127</x:f>
        <x:v>0</x:v>
      </x:c>
      <x:c r="M127" s="25">
        <x:f>IF(L127&lt;=10,119,"")</x:f>
        <x:v>119</x:v>
      </x:c>
      <x:c r="O127" s="1"/>
    </x:row>
    <x:row r="128" spans="1:15" ht="18" hidden="1" customHeight="1">
      <x:c r="A128" s="9" t="s">
        <x:v>176</x:v>
      </x:c>
      <x:c r="B128" s="15" t="s">
        <x:v>29</x:v>
      </x:c>
      <x:c r="C128" s="14" t="s">
        <x:v>137</x:v>
      </x:c>
      <x:c r="D128" s="1">
        <x:v>1</x:v>
      </x:c>
      <x:c r="E128" s="9" t="s">
        <x:v>83</x:v>
      </x:c>
      <x:c r="F128" s="1" t="s">
        <x:v>126</x:v>
      </x:c>
      <x:c r="G128" s="7">
        <x:f>'2026.9.7'!K120</x:f>
        <x:v>0</x:v>
      </x:c>
      <x:c r="H128" s="1">
        <x:f>K5*D128</x:f>
        <x:v>0</x:v>
      </x:c>
      <x:c r="K128" s="22">
        <x:f>G128+J128-H128-I128</x:f>
        <x:v>0</x:v>
      </x:c>
      <x:c r="L128" s="19">
        <x:f>K128/D128</x:f>
        <x:v>0</x:v>
      </x:c>
      <x:c r="M128" s="25">
        <x:f>IF(L128&lt;=10,119,"")</x:f>
        <x:v>119</x:v>
      </x:c>
      <x:c r="O128"/>
    </x:row>
    <x:row r="129" spans="1:15" ht="18" hidden="1" customHeight="1">
      <x:c r="A129" s="9" t="s">
        <x:v>176</x:v>
      </x:c>
      <x:c r="B129" s="15" t="s">
        <x:v>29</x:v>
      </x:c>
      <x:c r="C129" s="14" t="s">
        <x:v>137</x:v>
      </x:c>
      <x:c r="D129" s="1">
        <x:v>1</x:v>
      </x:c>
      <x:c r="E129" s="9" t="s">
        <x:v>41</x:v>
      </x:c>
      <x:c r="F129" s="1" t="s">
        <x:v>131</x:v>
      </x:c>
      <x:c r="G129" s="7">
        <x:f>'2026.9.7'!K121</x:f>
        <x:v>3</x:v>
      </x:c>
      <x:c r="H129" s="1">
        <x:f>K6*D129</x:f>
        <x:v>0</x:v>
      </x:c>
      <x:c r="K129" s="22">
        <x:f>G129+J129-H129-I129</x:f>
        <x:v>3</x:v>
      </x:c>
      <x:c r="L129" s="19">
        <x:f>K129/D129</x:f>
        <x:v>3</x:v>
      </x:c>
      <x:c r="M129" s="25">
        <x:f>IF(L129&lt;=10,119,"")</x:f>
        <x:v>119</x:v>
      </x:c>
      <x:c r="O129"/>
    </x:row>
    <x:row r="130" spans="1:15" ht="18" hidden="1" customHeight="1">
      <x:c r="A130" s="9" t="s">
        <x:v>176</x:v>
      </x:c>
      <x:c r="B130" s="15" t="s">
        <x:v>29</x:v>
      </x:c>
      <x:c r="C130" s="14" t="s">
        <x:v>137</x:v>
      </x:c>
      <x:c r="D130" s="1">
        <x:v>1</x:v>
      </x:c>
      <x:c r="E130" s="9" t="s">
        <x:v>47</x:v>
      </x:c>
      <x:c r="F130" s="1" t="s">
        <x:v>136</x:v>
      </x:c>
      <x:c r="G130" s="7">
        <x:f>'2026.9.7'!K122</x:f>
        <x:v>10</x:v>
      </x:c>
      <x:c r="H130" s="1">
        <x:f>K7*D130</x:f>
        <x:v>0</x:v>
      </x:c>
      <x:c r="K130" s="22">
        <x:f>G130+J130-H130-I130</x:f>
        <x:v>10</x:v>
      </x:c>
      <x:c r="L130" s="19">
        <x:f>K130/D130</x:f>
        <x:v>10</x:v>
      </x:c>
      <x:c r="M130" s="25">
        <x:f>IF(L130&lt;=10,119,"")</x:f>
        <x:v>119</x:v>
      </x:c>
      <x:c r="O130"/>
    </x:row>
    <x:row r="131" spans="1:15" ht="18" hidden="1" customHeight="1">
      <x:c r="A131" s="9" t="s">
        <x:v>176</x:v>
      </x:c>
      <x:c r="B131" s="15" t="s">
        <x:v>29</x:v>
      </x:c>
      <x:c r="C131" s="14" t="s">
        <x:v>137</x:v>
      </x:c>
      <x:c r="D131" s="1">
        <x:v>1</x:v>
      </x:c>
      <x:c r="E131" s="9" t="s">
        <x:v>73</x:v>
      </x:c>
      <x:c r="F131" s="1" t="s">
        <x:v>136</x:v>
      </x:c>
      <x:c r="G131" s="7">
        <x:f>'2026.9.7'!K123</x:f>
        <x:v>4</x:v>
      </x:c>
      <x:c r="H131" s="1">
        <x:f>K8*D131</x:f>
        <x:v>0</x:v>
      </x:c>
      <x:c r="K131" s="22">
        <x:f>G131+J131-H131-I131</x:f>
        <x:v>4</x:v>
      </x:c>
      <x:c r="L131" s="19">
        <x:f>K131/D131</x:f>
        <x:v>4</x:v>
      </x:c>
      <x:c r="M131" s="25">
        <x:f>IF(L131&lt;=10,119,"")</x:f>
        <x:v>119</x:v>
      </x:c>
      <x:c r="O131"/>
    </x:row>
    <x:row r="132" spans="1:15" customFormat="1" ht="18" hidden="1" customHeight="1">
      <x:c r="A132" s="9" t="s">
        <x:v>176</x:v>
      </x:c>
      <x:c r="B132" s="15" t="s">
        <x:v>81</x:v>
      </x:c>
      <x:c r="C132" s="14" t="s">
        <x:v>143</x:v>
      </x:c>
      <x:c r="D132" s="1">
        <x:v>1</x:v>
      </x:c>
      <x:c r="E132" s="14" t="s">
        <x:v>244</x:v>
      </x:c>
      <x:c r="F132" s="1" t="s">
        <x:v>182</x:v>
      </x:c>
      <x:c r="G132" s="7">
        <x:f>'2026.9.7'!K124</x:f>
        <x:v>0</x:v>
      </x:c>
      <x:c r="H132" s="1">
        <x:f>I21*D132</x:f>
        <x:v>0</x:v>
      </x:c>
      <x:c r="I132" s="1"/>
      <x:c r="J132" s="1"/>
      <x:c r="K132" s="22">
        <x:f>G132+J132-H132-I132</x:f>
        <x:v>0</x:v>
      </x:c>
      <x:c r="L132" s="19">
        <x:f>K132/D132</x:f>
        <x:v>0</x:v>
      </x:c>
      <x:c r="M132" s="25">
        <x:f>IF(L132&lt;=10,119,"")</x:f>
        <x:v>119</x:v>
      </x:c>
      <x:c r="O132" s="1"/>
    </x:row>
    <x:row r="133" spans="1:15" customFormat="1" ht="18" hidden="1" customHeight="1">
      <x:c r="A133" s="9" t="s">
        <x:v>176</x:v>
      </x:c>
      <x:c r="B133" s="15" t="s">
        <x:v>81</x:v>
      </x:c>
      <x:c r="C133" s="14" t="s">
        <x:v>143</x:v>
      </x:c>
      <x:c r="D133" s="1">
        <x:v>1</x:v>
      </x:c>
      <x:c r="E133" s="14" t="s">
        <x:v>247</x:v>
      </x:c>
      <x:c r="F133" s="1" t="s">
        <x:v>193</x:v>
      </x:c>
      <x:c r="G133" s="7">
        <x:f>'2026.9.7'!K125</x:f>
        <x:v>0</x:v>
      </x:c>
      <x:c r="H133" s="1">
        <x:f>I22*D133</x:f>
        <x:v>0</x:v>
      </x:c>
      <x:c r="I133" s="1"/>
      <x:c r="J133" s="1"/>
      <x:c r="K133" s="22">
        <x:f>G133+J133-H133-I133</x:f>
        <x:v>0</x:v>
      </x:c>
      <x:c r="L133" s="19">
        <x:f>K133/D133</x:f>
        <x:v>0</x:v>
      </x:c>
      <x:c r="M133" s="25">
        <x:f>IF(L133&lt;=10,119,"")</x:f>
        <x:v>119</x:v>
      </x:c>
      <x:c r="O133" s="1"/>
    </x:row>
    <x:row r="134" spans="1:15" ht="18" hidden="1" customHeight="1">
      <x:c r="A134" s="9" t="s">
        <x:v>176</x:v>
      </x:c>
      <x:c r="B134" s="15" t="s">
        <x:v>81</x:v>
      </x:c>
      <x:c r="C134" s="14" t="s">
        <x:v>172</x:v>
      </x:c>
      <x:c r="D134" s="1">
        <x:v>1</x:v>
      </x:c>
      <x:c r="E134" s="9" t="s">
        <x:v>83</x:v>
      </x:c>
      <x:c r="G134" s="7">
        <x:f>'2026.9.7'!K126</x:f>
        <x:v>0</x:v>
      </x:c>
      <x:c r="H134" s="1">
        <x:f>K5*D134</x:f>
        <x:v>0</x:v>
      </x:c>
      <x:c r="K134" s="22">
        <x:f>G134+J134-H134-I134</x:f>
        <x:v>0</x:v>
      </x:c>
      <x:c r="L134" s="19">
        <x:f>K134/D134</x:f>
        <x:v>0</x:v>
      </x:c>
      <x:c r="M134" s="25">
        <x:f>IF(L134&lt;=10,119,"")</x:f>
        <x:v>119</x:v>
      </x:c>
      <x:c r="O134"/>
    </x:row>
    <x:row r="135" spans="1:15" ht="18" hidden="1" customHeight="1">
      <x:c r="A135" s="9" t="s">
        <x:v>176</x:v>
      </x:c>
      <x:c r="B135" s="15" t="s">
        <x:v>81</x:v>
      </x:c>
      <x:c r="C135" s="14" t="s">
        <x:v>172</x:v>
      </x:c>
      <x:c r="D135" s="1">
        <x:v>1</x:v>
      </x:c>
      <x:c r="E135" s="9" t="s">
        <x:v>41</x:v>
      </x:c>
      <x:c r="G135" s="7">
        <x:f>'2026.9.7'!K127</x:f>
        <x:v>0</x:v>
      </x:c>
      <x:c r="H135" s="1">
        <x:f>K6*D135</x:f>
        <x:v>0</x:v>
      </x:c>
      <x:c r="K135" s="22">
        <x:f>G135+J135-H135-I135</x:f>
        <x:v>0</x:v>
      </x:c>
      <x:c r="L135" s="19">
        <x:f>K135/D135</x:f>
        <x:v>0</x:v>
      </x:c>
      <x:c r="M135" s="25">
        <x:f>IF(L135&lt;=10,119,"")</x:f>
        <x:v>119</x:v>
      </x:c>
      <x:c r="O135"/>
    </x:row>
    <x:row r="136" spans="1:15" ht="18" hidden="1" customHeight="1">
      <x:c r="A136" s="9" t="s">
        <x:v>176</x:v>
      </x:c>
      <x:c r="B136" s="15" t="s">
        <x:v>81</x:v>
      </x:c>
      <x:c r="C136" s="14" t="s">
        <x:v>172</x:v>
      </x:c>
      <x:c r="D136" s="1">
        <x:v>1</x:v>
      </x:c>
      <x:c r="E136" s="9" t="s">
        <x:v>47</x:v>
      </x:c>
      <x:c r="G136" s="7">
        <x:f>'2026.9.7'!K128</x:f>
        <x:v>9</x:v>
      </x:c>
      <x:c r="H136" s="1">
        <x:f>K7*D136</x:f>
        <x:v>0</x:v>
      </x:c>
      <x:c r="K136" s="22">
        <x:f>G136+J136-H136-I136</x:f>
        <x:v>9</x:v>
      </x:c>
      <x:c r="L136" s="19">
        <x:f>K136/D136</x:f>
        <x:v>9</x:v>
      </x:c>
      <x:c r="M136" s="25">
        <x:f>IF(L136&lt;=10,119,"")</x:f>
        <x:v>119</x:v>
      </x:c>
      <x:c r="O136"/>
    </x:row>
    <x:row r="137" spans="1:15" ht="18" hidden="1" customHeight="1">
      <x:c r="A137" s="9" t="s">
        <x:v>176</x:v>
      </x:c>
      <x:c r="B137" s="15" t="s">
        <x:v>81</x:v>
      </x:c>
      <x:c r="C137" s="14" t="s">
        <x:v>172</x:v>
      </x:c>
      <x:c r="D137" s="1">
        <x:v>1</x:v>
      </x:c>
      <x:c r="E137" s="9" t="s">
        <x:v>73</x:v>
      </x:c>
      <x:c r="G137" s="7">
        <x:f>'2026.9.7'!K129</x:f>
        <x:v>6</x:v>
      </x:c>
      <x:c r="H137" s="1">
        <x:f>K8*D137</x:f>
        <x:v>0</x:v>
      </x:c>
      <x:c r="K137" s="22">
        <x:f>G137+J137-H137-I137</x:f>
        <x:v>6</x:v>
      </x:c>
      <x:c r="L137" s="19">
        <x:f>K137/D137</x:f>
        <x:v>6</x:v>
      </x:c>
      <x:c r="M137" s="25">
        <x:f>IF(L137&lt;=10,119,"")</x:f>
        <x:v>119</x:v>
      </x:c>
      <x:c r="O137"/>
    </x:row>
    <x:row r="138" spans="1:15" ht="18" hidden="1" customHeight="1">
      <x:c r="A138" s="9" t="s">
        <x:v>176</x:v>
      </x:c>
      <x:c r="B138" s="15" t="s">
        <x:v>13</x:v>
      </x:c>
      <x:c r="C138" s="14" t="s">
        <x:v>137</x:v>
      </x:c>
      <x:c r="D138" s="1">
        <x:v>1</x:v>
      </x:c>
      <x:c r="E138" s="9" t="s">
        <x:v>83</x:v>
      </x:c>
      <x:c r="G138" s="7">
        <x:f>'2026.9.7'!K130</x:f>
        <x:v>1</x:v>
      </x:c>
      <x:c r="H138" s="1">
        <x:f>K5*D138</x:f>
        <x:v>0</x:v>
      </x:c>
      <x:c r="K138" s="22">
        <x:f>G138+J138-H138-I138</x:f>
        <x:v>1</x:v>
      </x:c>
      <x:c r="L138" s="19">
        <x:f>K138/D138</x:f>
        <x:v>1</x:v>
      </x:c>
      <x:c r="M138" s="25">
        <x:f>IF(L138&lt;=10,119,"")</x:f>
        <x:v>119</x:v>
      </x:c>
      <x:c r="O138"/>
    </x:row>
    <x:row r="139" spans="1:15" ht="18" hidden="1" customHeight="1">
      <x:c r="A139" s="9" t="s">
        <x:v>176</x:v>
      </x:c>
      <x:c r="B139" s="15" t="s">
        <x:v>13</x:v>
      </x:c>
      <x:c r="C139" s="14" t="s">
        <x:v>137</x:v>
      </x:c>
      <x:c r="D139" s="1">
        <x:v>1</x:v>
      </x:c>
      <x:c r="E139" s="9" t="s">
        <x:v>41</x:v>
      </x:c>
      <x:c r="F139" s="1" t="s">
        <x:v>191</x:v>
      </x:c>
      <x:c r="G139" s="7">
        <x:f>'2026.9.7'!K131</x:f>
        <x:v>1</x:v>
      </x:c>
      <x:c r="H139" s="1">
        <x:f>K6*D139</x:f>
        <x:v>0</x:v>
      </x:c>
      <x:c r="K139" s="22">
        <x:f>G139+J139-H139-I139</x:f>
        <x:v>1</x:v>
      </x:c>
      <x:c r="L139" s="19">
        <x:f>K139/D139</x:f>
        <x:v>1</x:v>
      </x:c>
      <x:c r="M139" s="25">
        <x:f>IF(L139&lt;=10,119,"")</x:f>
        <x:v>119</x:v>
      </x:c>
      <x:c r="O139"/>
    </x:row>
    <x:row r="140" spans="1:15" ht="18" hidden="1" customHeight="1">
      <x:c r="A140" s="9" t="s">
        <x:v>176</x:v>
      </x:c>
      <x:c r="B140" s="15" t="s">
        <x:v>13</x:v>
      </x:c>
      <x:c r="C140" s="14" t="s">
        <x:v>137</x:v>
      </x:c>
      <x:c r="D140" s="1">
        <x:v>1</x:v>
      </x:c>
      <x:c r="E140" s="9" t="s">
        <x:v>47</x:v>
      </x:c>
      <x:c r="G140" s="7">
        <x:f>'2026.9.7'!K132</x:f>
        <x:v>8</x:v>
      </x:c>
      <x:c r="H140" s="1">
        <x:f>K7*D140</x:f>
        <x:v>0</x:v>
      </x:c>
      <x:c r="K140" s="22">
        <x:f>G140+J140-H140-I140</x:f>
        <x:v>8</x:v>
      </x:c>
      <x:c r="L140" s="19">
        <x:f>K140/D140</x:f>
        <x:v>8</x:v>
      </x:c>
      <x:c r="M140" s="25">
        <x:f>IF(L140&lt;=10,119,"")</x:f>
        <x:v>119</x:v>
      </x:c>
      <x:c r="O140"/>
    </x:row>
    <x:row r="141" spans="1:15" customFormat="1" ht="18" hidden="1" customHeight="1">
      <x:c r="A141" s="9" t="s">
        <x:v>176</x:v>
      </x:c>
      <x:c r="B141" s="15" t="s">
        <x:v>144</x:v>
      </x:c>
      <x:c r="C141" s="14" t="s">
        <x:v>62</x:v>
      </x:c>
      <x:c r="D141" s="1">
        <x:v>1</x:v>
      </x:c>
      <x:c r="E141" s="14" t="s">
        <x:v>244</x:v>
      </x:c>
      <x:c r="F141" s="1" t="s">
        <x:v>199</x:v>
      </x:c>
      <x:c r="G141" s="7">
        <x:f>'2026.9.7'!K133</x:f>
        <x:v>0</x:v>
      </x:c>
      <x:c r="H141" s="1">
        <x:f>I21*D141</x:f>
        <x:v>0</x:v>
      </x:c>
      <x:c r="I141" s="1"/>
      <x:c r="J141" s="1"/>
      <x:c r="K141" s="22">
        <x:f>G141+J141-H141-I141</x:f>
        <x:v>0</x:v>
      </x:c>
      <x:c r="L141" s="19">
        <x:f>K141/D141</x:f>
        <x:v>0</x:v>
      </x:c>
      <x:c r="M141" s="25">
        <x:f>IF(L141&lt;=10,119,"")</x:f>
        <x:v>119</x:v>
      </x:c>
      <x:c r="O141" s="1"/>
    </x:row>
    <x:row r="142" spans="1:15" customFormat="1" ht="18" hidden="1" customHeight="1">
      <x:c r="A142" s="9" t="s">
        <x:v>176</x:v>
      </x:c>
      <x:c r="B142" s="15" t="s">
        <x:v>144</x:v>
      </x:c>
      <x:c r="C142" s="14" t="s">
        <x:v>62</x:v>
      </x:c>
      <x:c r="D142" s="1">
        <x:v>1</x:v>
      </x:c>
      <x:c r="E142" s="14" t="s">
        <x:v>247</x:v>
      </x:c>
      <x:c r="F142" s="1" t="s">
        <x:v>186</x:v>
      </x:c>
      <x:c r="G142" s="7">
        <x:f>'2026.9.7'!K134</x:f>
        <x:v>0</x:v>
      </x:c>
      <x:c r="H142" s="1">
        <x:f>I22*D142</x:f>
        <x:v>0</x:v>
      </x:c>
      <x:c r="I142" s="1"/>
      <x:c r="J142" s="1"/>
      <x:c r="K142" s="22">
        <x:f>G142+J142-H142-I142</x:f>
        <x:v>0</x:v>
      </x:c>
      <x:c r="L142" s="19">
        <x:f>K142/D142</x:f>
        <x:v>0</x:v>
      </x:c>
      <x:c r="M142" s="25">
        <x:f>IF(L142&lt;=10,119,"")</x:f>
        <x:v>119</x:v>
      </x:c>
      <x:c r="O142" s="1"/>
    </x:row>
    <x:row r="143" spans="1:15" ht="18" hidden="1" customHeight="1">
      <x:c r="A143" s="9" t="s">
        <x:v>176</x:v>
      </x:c>
      <x:c r="B143" s="15" t="s">
        <x:v>144</x:v>
      </x:c>
      <x:c r="C143" s="14" t="s">
        <x:v>62</x:v>
      </x:c>
      <x:c r="D143" s="1">
        <x:v>1</x:v>
      </x:c>
      <x:c r="E143" s="9" t="s">
        <x:v>83</x:v>
      </x:c>
      <x:c r="F143" s="1" t="s">
        <x:v>68</x:v>
      </x:c>
      <x:c r="G143" s="7">
        <x:f>'2026.9.7'!K135</x:f>
        <x:v>35</x:v>
      </x:c>
      <x:c r="H143" s="1">
        <x:f>K5*D143</x:f>
        <x:v>0</x:v>
      </x:c>
      <x:c r="K143" s="22">
        <x:f>G143+J143-H143-I143</x:f>
        <x:v>35</x:v>
      </x:c>
      <x:c r="L143" s="19">
        <x:f>K143/D143</x:f>
        <x:v>35</x:v>
      </x:c>
      <x:c r="M143" s="25" t="str">
        <x:f>IF(L143&lt;=10,119,"")</x:f>
        <x:v/>
      </x:c>
      <x:c r="O143"/>
    </x:row>
    <x:row r="144" spans="1:15" ht="18" hidden="1" customHeight="1">
      <x:c r="A144" s="9" t="s">
        <x:v>176</x:v>
      </x:c>
      <x:c r="B144" s="15" t="s">
        <x:v>144</x:v>
      </x:c>
      <x:c r="C144" s="14" t="s">
        <x:v>62</x:v>
      </x:c>
      <x:c r="D144" s="1">
        <x:v>1</x:v>
      </x:c>
      <x:c r="E144" s="9" t="s">
        <x:v>41</x:v>
      </x:c>
      <x:c r="F144" s="1" t="s">
        <x:v>107</x:v>
      </x:c>
      <x:c r="G144" s="7">
        <x:f>'2026.9.7'!K136</x:f>
        <x:v>0</x:v>
      </x:c>
      <x:c r="H144" s="1">
        <x:f>K6*D144</x:f>
        <x:v>0</x:v>
      </x:c>
      <x:c r="K144" s="22">
        <x:f>G144+J144-H144-I144</x:f>
        <x:v>0</x:v>
      </x:c>
      <x:c r="L144" s="19">
        <x:f>K144/D144</x:f>
        <x:v>0</x:v>
      </x:c>
      <x:c r="M144" s="25">
        <x:f>IF(L144&lt;=10,119,"")</x:f>
        <x:v>119</x:v>
      </x:c>
      <x:c r="O144"/>
    </x:row>
    <x:row r="145" spans="1:15" ht="18" hidden="1" customHeight="1">
      <x:c r="A145" s="9" t="s">
        <x:v>176</x:v>
      </x:c>
      <x:c r="B145" s="15" t="s">
        <x:v>144</x:v>
      </x:c>
      <x:c r="C145" s="14" t="s">
        <x:v>62</x:v>
      </x:c>
      <x:c r="D145" s="1">
        <x:v>1</x:v>
      </x:c>
      <x:c r="E145" s="9" t="s">
        <x:v>47</x:v>
      </x:c>
      <x:c r="F145" s="1" t="s">
        <x:v>59</x:v>
      </x:c>
      <x:c r="G145" s="7">
        <x:f>'2026.9.7'!K137</x:f>
        <x:v>44</x:v>
      </x:c>
      <x:c r="H145" s="1">
        <x:f>K7*D145</x:f>
        <x:v>0</x:v>
      </x:c>
      <x:c r="K145" s="22">
        <x:f>G145+J145-H145-I145</x:f>
        <x:v>44</x:v>
      </x:c>
      <x:c r="L145" s="19">
        <x:f>K145/D145</x:f>
        <x:v>44</x:v>
      </x:c>
      <x:c r="M145" s="25" t="str">
        <x:f>IF(L145&lt;=10,119,"")</x:f>
        <x:v/>
      </x:c>
      <x:c r="O145"/>
    </x:row>
    <x:row r="146" spans="1:15" ht="18" hidden="1" customHeight="1">
      <x:c r="A146" s="9" t="s">
        <x:v>176</x:v>
      </x:c>
      <x:c r="B146" s="15" t="s">
        <x:v>144</x:v>
      </x:c>
      <x:c r="C146" s="14" t="s">
        <x:v>62</x:v>
      </x:c>
      <x:c r="D146" s="1">
        <x:v>1</x:v>
      </x:c>
      <x:c r="E146" s="9" t="s">
        <x:v>73</x:v>
      </x:c>
      <x:c r="F146" s="1" t="s">
        <x:v>56</x:v>
      </x:c>
      <x:c r="G146" s="7">
        <x:f>'2026.9.7'!K138</x:f>
        <x:v>35</x:v>
      </x:c>
      <x:c r="H146" s="1">
        <x:f>K8*D146</x:f>
        <x:v>0</x:v>
      </x:c>
      <x:c r="K146" s="22">
        <x:f>G146+J146-H146-I146</x:f>
        <x:v>35</x:v>
      </x:c>
      <x:c r="L146" s="19">
        <x:f>K146/D146</x:f>
        <x:v>35</x:v>
      </x:c>
      <x:c r="M146" s="25" t="str">
        <x:f>IF(L146&lt;=10,119,"")</x:f>
        <x:v/>
      </x:c>
      <x:c r="O146"/>
    </x:row>
    <x:row r="147" spans="1:15" customFormat="1" ht="18" hidden="1" customHeight="1">
      <x:c r="A147" s="9" t="s">
        <x:v>176</x:v>
      </x:c>
      <x:c r="B147" s="15" t="s">
        <x:v>57</x:v>
      </x:c>
      <x:c r="C147" s="14" t="s">
        <x:v>112</x:v>
      </x:c>
      <x:c r="D147" s="1">
        <x:v>1</x:v>
      </x:c>
      <x:c r="E147" s="14" t="s">
        <x:v>244</x:v>
      </x:c>
      <x:c r="F147" s="1" t="s">
        <x:v>146</x:v>
      </x:c>
      <x:c r="G147" s="7">
        <x:f>'2026.9.7'!K139</x:f>
        <x:v>4</x:v>
      </x:c>
      <x:c r="H147" s="1">
        <x:f>I21*D147</x:f>
        <x:v>0</x:v>
      </x:c>
      <x:c r="I147" s="1"/>
      <x:c r="J147" s="1"/>
      <x:c r="K147" s="22">
        <x:f>G147+J147-H147-I147</x:f>
        <x:v>4</x:v>
      </x:c>
      <x:c r="L147" s="19">
        <x:f>K147/D147</x:f>
        <x:v>4</x:v>
      </x:c>
      <x:c r="M147" s="25">
        <x:f>IF(L147&lt;=10,119,"")</x:f>
        <x:v>119</x:v>
      </x:c>
      <x:c r="O147" s="1"/>
    </x:row>
    <x:row r="148" spans="1:15" customFormat="1" ht="18" hidden="1" customHeight="1">
      <x:c r="A148" s="9" t="s">
        <x:v>176</x:v>
      </x:c>
      <x:c r="B148" s="15" t="s">
        <x:v>57</x:v>
      </x:c>
      <x:c r="C148" s="14" t="s">
        <x:v>112</x:v>
      </x:c>
      <x:c r="D148" s="1">
        <x:v>1</x:v>
      </x:c>
      <x:c r="E148" s="14" t="s">
        <x:v>247</x:v>
      </x:c>
      <x:c r="F148" s="1" t="s">
        <x:v>145</x:v>
      </x:c>
      <x:c r="G148" s="7">
        <x:f>'2026.9.7'!K140</x:f>
        <x:v>14</x:v>
      </x:c>
      <x:c r="H148" s="1">
        <x:f>I22*D148</x:f>
        <x:v>0</x:v>
      </x:c>
      <x:c r="I148" s="1"/>
      <x:c r="J148" s="1"/>
      <x:c r="K148" s="22">
        <x:f>G148+J148-H148-I148</x:f>
        <x:v>14</x:v>
      </x:c>
      <x:c r="L148" s="19">
        <x:f>K148/D148</x:f>
        <x:v>14</x:v>
      </x:c>
      <x:c r="M148" s="25" t="str">
        <x:f>IF(L148&lt;=10,119,"")</x:f>
        <x:v/>
      </x:c>
      <x:c r="O148" s="1"/>
    </x:row>
    <x:row r="149" spans="1:15" ht="18" hidden="1" customHeight="1">
      <x:c r="A149" s="9" t="s">
        <x:v>176</x:v>
      </x:c>
      <x:c r="B149" s="15" t="s">
        <x:v>57</x:v>
      </x:c>
      <x:c r="C149" s="14" t="s">
        <x:v>112</x:v>
      </x:c>
      <x:c r="D149" s="1">
        <x:v>1</x:v>
      </x:c>
      <x:c r="E149" s="9" t="s">
        <x:v>83</x:v>
      </x:c>
      <x:c r="F149" s="1" t="s">
        <x:v>194</x:v>
      </x:c>
      <x:c r="G149" s="7">
        <x:f>'2026.9.7'!K141</x:f>
        <x:v>41</x:v>
      </x:c>
      <x:c r="H149" s="1">
        <x:f>K5*D149</x:f>
        <x:v>0</x:v>
      </x:c>
      <x:c r="K149" s="22">
        <x:f>G149+J149-H149-I149</x:f>
        <x:v>41</x:v>
      </x:c>
      <x:c r="L149" s="19">
        <x:f>K149/D149</x:f>
        <x:v>41</x:v>
      </x:c>
      <x:c r="M149" s="25" t="str">
        <x:f>IF(L149&lt;=10,119,"")</x:f>
        <x:v/>
      </x:c>
      <x:c r="O149"/>
    </x:row>
    <x:row r="150" spans="1:15" ht="18" hidden="1" customHeight="1">
      <x:c r="A150" s="9" t="s">
        <x:v>176</x:v>
      </x:c>
      <x:c r="B150" s="15" t="s">
        <x:v>57</x:v>
      </x:c>
      <x:c r="C150" s="14" t="s">
        <x:v>112</x:v>
      </x:c>
      <x:c r="D150" s="1">
        <x:v>1</x:v>
      </x:c>
      <x:c r="E150" s="9" t="s">
        <x:v>41</x:v>
      </x:c>
      <x:c r="F150" s="1" t="s">
        <x:v>164</x:v>
      </x:c>
      <x:c r="G150" s="7">
        <x:f>'2026.9.7'!K142</x:f>
        <x:v>1</x:v>
      </x:c>
      <x:c r="H150" s="1">
        <x:f>K6*D150</x:f>
        <x:v>0</x:v>
      </x:c>
      <x:c r="K150" s="22">
        <x:f>G150+J150-H150-I150</x:f>
        <x:v>1</x:v>
      </x:c>
      <x:c r="L150" s="19">
        <x:f>K150/D150</x:f>
        <x:v>1</x:v>
      </x:c>
      <x:c r="M150" s="25">
        <x:f>IF(L150&lt;=10,119,"")</x:f>
        <x:v>119</x:v>
      </x:c>
      <x:c r="O150"/>
    </x:row>
    <x:row r="151" spans="1:15" ht="18" hidden="1" customHeight="1">
      <x:c r="A151" s="9" t="s">
        <x:v>176</x:v>
      </x:c>
      <x:c r="B151" s="15" t="s">
        <x:v>57</x:v>
      </x:c>
      <x:c r="C151" s="14" t="s">
        <x:v>112</x:v>
      </x:c>
      <x:c r="D151" s="1">
        <x:v>1</x:v>
      </x:c>
      <x:c r="E151" s="9" t="s">
        <x:v>47</x:v>
      </x:c>
      <x:c r="F151" s="1" t="s">
        <x:v>146</x:v>
      </x:c>
      <x:c r="G151" s="7">
        <x:f>'2026.9.7'!K143</x:f>
        <x:v>36</x:v>
      </x:c>
      <x:c r="H151" s="1">
        <x:f>K7*D151</x:f>
        <x:v>0</x:v>
      </x:c>
      <x:c r="K151" s="22">
        <x:f>G151+J151-H151-I151</x:f>
        <x:v>36</x:v>
      </x:c>
      <x:c r="L151" s="19">
        <x:f>K151/D151</x:f>
        <x:v>36</x:v>
      </x:c>
      <x:c r="M151" s="25" t="str">
        <x:f>IF(L151&lt;=10,119,"")</x:f>
        <x:v/>
      </x:c>
      <x:c r="O151"/>
    </x:row>
    <x:row r="152" spans="1:15" ht="18" hidden="1" customHeight="1">
      <x:c r="A152" s="9" t="s">
        <x:v>176</x:v>
      </x:c>
      <x:c r="B152" s="15" t="s">
        <x:v>57</x:v>
      </x:c>
      <x:c r="C152" s="14" t="s">
        <x:v>112</x:v>
      </x:c>
      <x:c r="D152" s="1">
        <x:v>1</x:v>
      </x:c>
      <x:c r="E152" s="9" t="s">
        <x:v>73</x:v>
      </x:c>
      <x:c r="F152" s="1" t="s">
        <x:v>146</x:v>
      </x:c>
      <x:c r="G152" s="7">
        <x:f>'2026.9.7'!K144</x:f>
        <x:v>34</x:v>
      </x:c>
      <x:c r="H152" s="1">
        <x:f>K8*D152</x:f>
        <x:v>0</x:v>
      </x:c>
      <x:c r="K152" s="22">
        <x:f>G152+J152-H152-I152</x:f>
        <x:v>34</x:v>
      </x:c>
      <x:c r="L152" s="19">
        <x:f>K152/D152</x:f>
        <x:v>34</x:v>
      </x:c>
      <x:c r="M152" s="25" t="str">
        <x:f>IF(L152&lt;=10,119,"")</x:f>
        <x:v/>
      </x:c>
      <x:c r="O152"/>
    </x:row>
    <x:row r="153" spans="1:15" customFormat="1" ht="18" hidden="1" customHeight="1">
      <x:c r="A153" s="9" t="s">
        <x:v>176</x:v>
      </x:c>
      <x:c r="B153" s="15" t="s">
        <x:v>149</x:v>
      </x:c>
      <x:c r="C153" s="14" t="s">
        <x:v>229</x:v>
      </x:c>
      <x:c r="D153" s="1">
        <x:v>1</x:v>
      </x:c>
      <x:c r="E153" s="14" t="s">
        <x:v>246</x:v>
      </x:c>
      <x:c r="F153" s="1" t="s">
        <x:v>289</x:v>
      </x:c>
      <x:c r="G153" s="7">
        <x:f>'2026.9.7'!K145</x:f>
        <x:v>1</x:v>
      </x:c>
      <x:c r="H153" s="1">
        <x:f>SUM(I5:I6)*D153</x:f>
        <x:v>0</x:v>
      </x:c>
      <x:c r="I153" s="1"/>
      <x:c r="J153" s="1"/>
      <x:c r="K153" s="22">
        <x:f>G153+J153-H153-I153</x:f>
        <x:v>1</x:v>
      </x:c>
      <x:c r="L153" s="19">
        <x:f>K153/D153</x:f>
        <x:v>1</x:v>
      </x:c>
      <x:c r="M153" s="25">
        <x:f>IF(L153&lt;=10,119,"")</x:f>
        <x:v>119</x:v>
      </x:c>
      <x:c r="O153" s="1"/>
    </x:row>
    <x:row r="154" spans="1:15" customFormat="1" ht="18" hidden="1" customHeight="1">
      <x:c r="A154" s="9" t="s">
        <x:v>176</x:v>
      </x:c>
      <x:c r="B154" s="15" t="s">
        <x:v>149</x:v>
      </x:c>
      <x:c r="C154" s="14" t="s">
        <x:v>229</x:v>
      </x:c>
      <x:c r="D154" s="1">
        <x:v>1</x:v>
      </x:c>
      <x:c r="E154" s="14" t="s">
        <x:v>246</x:v>
      </x:c>
      <x:c r="F154" s="6" t="s">
        <x:v>162</x:v>
      </x:c>
      <x:c r="G154" s="7">
        <x:f>'2026.9.7'!K146</x:f>
        <x:v>3</x:v>
      </x:c>
      <x:c r="H154" s="1">
        <x:f>SUM(I5:I6)*D154</x:f>
        <x:v>0</x:v>
      </x:c>
      <x:c r="I154" s="1"/>
      <x:c r="J154" s="1"/>
      <x:c r="K154" s="22">
        <x:f>G154+J154-H154-I154</x:f>
        <x:v>3</x:v>
      </x:c>
      <x:c r="L154" s="19">
        <x:f>K154/D154</x:f>
        <x:v>3</x:v>
      </x:c>
      <x:c r="M154" s="25">
        <x:f>IF(L154&lt;=10,119,"")</x:f>
        <x:v>119</x:v>
      </x:c>
      <x:c r="O154" s="1"/>
    </x:row>
    <x:row r="155" spans="1:15" customFormat="1" ht="18" hidden="1" customHeight="1">
      <x:c r="A155" s="9" t="s">
        <x:v>176</x:v>
      </x:c>
      <x:c r="B155" s="15" t="s">
        <x:v>149</x:v>
      </x:c>
      <x:c r="C155" s="14" t="s">
        <x:v>229</x:v>
      </x:c>
      <x:c r="D155" s="1">
        <x:v>1</x:v>
      </x:c>
      <x:c r="E155" s="14" t="s">
        <x:v>23</x:v>
      </x:c>
      <x:c r="F155" s="1" t="s">
        <x:v>289</x:v>
      </x:c>
      <x:c r="G155" s="7">
        <x:f>'2026.9.7'!K147</x:f>
        <x:v>0</x:v>
      </x:c>
      <x:c r="H155" s="1">
        <x:f>I3*D155</x:f>
        <x:v>0</x:v>
      </x:c>
      <x:c r="I155" s="1"/>
      <x:c r="J155" s="1"/>
      <x:c r="K155" s="22">
        <x:f>G155+J155-H155-I155</x:f>
        <x:v>0</x:v>
      </x:c>
      <x:c r="L155" s="19">
        <x:f>K155/D155</x:f>
        <x:v>0</x:v>
      </x:c>
      <x:c r="M155" s="25">
        <x:f>IF(L155&lt;=10,119,"")</x:f>
        <x:v>119</x:v>
      </x:c>
      <x:c r="O155" s="1"/>
    </x:row>
    <x:row r="156" spans="1:15" customFormat="1" ht="18" hidden="1" customHeight="1">
      <x:c r="A156" s="9" t="s">
        <x:v>176</x:v>
      </x:c>
      <x:c r="B156" s="15" t="s">
        <x:v>149</x:v>
      </x:c>
      <x:c r="C156" s="14" t="s">
        <x:v>229</x:v>
      </x:c>
      <x:c r="D156" s="1">
        <x:v>1</x:v>
      </x:c>
      <x:c r="E156" s="14" t="s">
        <x:v>23</x:v>
      </x:c>
      <x:c r="F156" s="6" t="s">
        <x:v>162</x:v>
      </x:c>
      <x:c r="G156" s="7">
        <x:f>'2026.9.7'!K148</x:f>
        <x:v>0</x:v>
      </x:c>
      <x:c r="H156" s="1">
        <x:f>I3*D156</x:f>
        <x:v>0</x:v>
      </x:c>
      <x:c r="I156" s="1"/>
      <x:c r="J156" s="1"/>
      <x:c r="K156" s="22">
        <x:f>G156+J156-H156-I156</x:f>
        <x:v>0</x:v>
      </x:c>
      <x:c r="L156" s="19">
        <x:f>K156/D156</x:f>
        <x:v>0</x:v>
      </x:c>
      <x:c r="M156" s="25">
        <x:f>IF(L156&lt;=10,119,"")</x:f>
        <x:v>119</x:v>
      </x:c>
      <x:c r="O156" s="1"/>
    </x:row>
    <x:row r="157" spans="1:15" customFormat="1" ht="18" hidden="1" customHeight="1">
      <x:c r="A157" s="9" t="s">
        <x:v>176</x:v>
      </x:c>
      <x:c r="B157" s="15" t="s">
        <x:v>149</x:v>
      </x:c>
      <x:c r="C157" s="14" t="s">
        <x:v>229</x:v>
      </x:c>
      <x:c r="D157" s="1">
        <x:v>1</x:v>
      </x:c>
      <x:c r="E157" s="14" t="s">
        <x:v>51</x:v>
      </x:c>
      <x:c r="F157" s="1" t="s">
        <x:v>289</x:v>
      </x:c>
      <x:c r="G157" s="7">
        <x:f>'2026.9.7'!K149</x:f>
        <x:v>4</x:v>
      </x:c>
      <x:c r="H157" s="1">
        <x:f>I6</x:f>
        <x:v>0</x:v>
      </x:c>
      <x:c r="I157" s="1"/>
      <x:c r="J157" s="1"/>
      <x:c r="K157" s="22">
        <x:f>G157+J157-H157-I157</x:f>
        <x:v>4</x:v>
      </x:c>
      <x:c r="L157" s="19">
        <x:f>K157/D157</x:f>
        <x:v>4</x:v>
      </x:c>
      <x:c r="M157" s="25">
        <x:f>IF(L157&lt;=10,119,"")</x:f>
        <x:v>119</x:v>
      </x:c>
      <x:c r="O157" s="1"/>
    </x:row>
    <x:row r="158" spans="1:15" customFormat="1" ht="18" hidden="1" customHeight="1">
      <x:c r="A158" s="9" t="s">
        <x:v>176</x:v>
      </x:c>
      <x:c r="B158" s="15" t="s">
        <x:v>149</x:v>
      </x:c>
      <x:c r="C158" s="14" t="s">
        <x:v>229</x:v>
      </x:c>
      <x:c r="D158" s="1">
        <x:v>1</x:v>
      </x:c>
      <x:c r="E158" s="14" t="s">
        <x:v>51</x:v>
      </x:c>
      <x:c r="F158" s="6" t="s">
        <x:v>162</x:v>
      </x:c>
      <x:c r="G158" s="7">
        <x:f>'2026.9.7'!K150</x:f>
        <x:v>4</x:v>
      </x:c>
      <x:c r="H158" s="1">
        <x:f>I6</x:f>
        <x:v>0</x:v>
      </x:c>
      <x:c r="I158" s="1"/>
      <x:c r="J158" s="1"/>
      <x:c r="K158" s="22">
        <x:f>G158+J158-H158-I158</x:f>
        <x:v>4</x:v>
      </x:c>
      <x:c r="L158" s="19">
        <x:f>K158/D158</x:f>
        <x:v>4</x:v>
      </x:c>
      <x:c r="M158" s="25">
        <x:f>IF(L158&lt;=10,119,"")</x:f>
        <x:v>119</x:v>
      </x:c>
      <x:c r="O158" s="1"/>
    </x:row>
    <x:row r="159" spans="1:15" customFormat="1" ht="18" hidden="1" customHeight="1">
      <x:c r="A159" s="9" t="s">
        <x:v>176</x:v>
      </x:c>
      <x:c r="B159" s="15" t="s">
        <x:v>149</x:v>
      </x:c>
      <x:c r="C159" s="14" t="s">
        <x:v>229</x:v>
      </x:c>
      <x:c r="D159" s="1">
        <x:v>1</x:v>
      </x:c>
      <x:c r="E159" s="14" t="s">
        <x:v>234</x:v>
      </x:c>
      <x:c r="F159" s="1" t="s">
        <x:v>289</x:v>
      </x:c>
      <x:c r="G159" s="7">
        <x:f>'2026.9.7'!K151</x:f>
        <x:v>44</x:v>
      </x:c>
      <x:c r="H159" s="1">
        <x:f>SUM(I13,I7)</x:f>
        <x:v>0</x:v>
      </x:c>
      <x:c r="I159" s="1"/>
      <x:c r="J159" s="1">
        <x:v>48</x:v>
      </x:c>
      <x:c r="K159" s="22">
        <x:f>G159+J159-H159-I159</x:f>
        <x:v>92</x:v>
      </x:c>
      <x:c r="L159" s="19">
        <x:f>K159/D159</x:f>
        <x:v>92</x:v>
      </x:c>
      <x:c r="M159" s="25" t="str">
        <x:f>IF(L159&lt;=10,119,"")</x:f>
        <x:v/>
      </x:c>
      <x:c r="O159" s="1"/>
    </x:row>
    <x:row r="160" spans="1:15" customFormat="1" ht="18" hidden="1" customHeight="1">
      <x:c r="A160" s="9" t="s">
        <x:v>176</x:v>
      </x:c>
      <x:c r="B160" s="15" t="s">
        <x:v>149</x:v>
      </x:c>
      <x:c r="C160" s="14" t="s">
        <x:v>229</x:v>
      </x:c>
      <x:c r="D160" s="1">
        <x:v>1</x:v>
      </x:c>
      <x:c r="E160" s="14" t="s">
        <x:v>234</x:v>
      </x:c>
      <x:c r="F160" s="6" t="s">
        <x:v>162</x:v>
      </x:c>
      <x:c r="G160" s="7">
        <x:f>'2026.9.7'!K152</x:f>
        <x:v>44</x:v>
      </x:c>
      <x:c r="H160" s="1">
        <x:f>SUM(I7,I13)</x:f>
        <x:v>0</x:v>
      </x:c>
      <x:c r="I160" s="1"/>
      <x:c r="J160" s="1">
        <x:v>48</x:v>
      </x:c>
      <x:c r="K160" s="22">
        <x:f>G160+J160-H160-I160</x:f>
        <x:v>92</x:v>
      </x:c>
      <x:c r="L160" s="19">
        <x:f>K160/D160</x:f>
        <x:v>92</x:v>
      </x:c>
      <x:c r="M160" s="25" t="str">
        <x:f>IF(L160&lt;=10,119,"")</x:f>
        <x:v/>
      </x:c>
      <x:c r="O160" s="1"/>
    </x:row>
    <x:row r="161" spans="1:15" customFormat="1" ht="18" hidden="1" customHeight="1">
      <x:c r="A161" s="9" t="s">
        <x:v>176</x:v>
      </x:c>
      <x:c r="B161" s="15" t="s">
        <x:v>149</x:v>
      </x:c>
      <x:c r="C161" s="14" t="s">
        <x:v>229</x:v>
      </x:c>
      <x:c r="D161" s="1">
        <x:v>1</x:v>
      </x:c>
      <x:c r="E161" s="14" t="s">
        <x:v>44</x:v>
      </x:c>
      <x:c r="F161" s="1" t="s">
        <x:v>289</x:v>
      </x:c>
      <x:c r="G161" s="7">
        <x:f>'2026.9.7'!K153</x:f>
        <x:v>26</x:v>
      </x:c>
      <x:c r="H161" s="1">
        <x:f>I8</x:f>
        <x:v>0</x:v>
      </x:c>
      <x:c r="I161" s="1"/>
      <x:c r="J161" s="1">
        <x:v>16</x:v>
      </x:c>
      <x:c r="K161" s="22">
        <x:f>G161+J161-H161-I161</x:f>
        <x:v>42</x:v>
      </x:c>
      <x:c r="L161" s="19">
        <x:f>K161/D161</x:f>
        <x:v>42</x:v>
      </x:c>
      <x:c r="M161" s="25" t="str">
        <x:f>IF(L161&lt;=10,119,"")</x:f>
        <x:v/>
      </x:c>
      <x:c r="O161" s="1"/>
    </x:row>
    <x:row r="162" spans="1:15" customFormat="1" ht="18" hidden="1" customHeight="1">
      <x:c r="A162" s="9" t="s">
        <x:v>176</x:v>
      </x:c>
      <x:c r="B162" s="15" t="s">
        <x:v>149</x:v>
      </x:c>
      <x:c r="C162" s="14" t="s">
        <x:v>229</x:v>
      </x:c>
      <x:c r="D162" s="1">
        <x:v>1</x:v>
      </x:c>
      <x:c r="E162" s="14" t="s">
        <x:v>44</x:v>
      </x:c>
      <x:c r="F162" s="6" t="s">
        <x:v>162</x:v>
      </x:c>
      <x:c r="G162" s="7">
        <x:f>'2026.9.7'!K154</x:f>
        <x:v>26</x:v>
      </x:c>
      <x:c r="H162" s="1">
        <x:f>I8</x:f>
        <x:v>0</x:v>
      </x:c>
      <x:c r="I162" s="1"/>
      <x:c r="J162" s="1">
        <x:v>16</x:v>
      </x:c>
      <x:c r="K162" s="22">
        <x:f>G162+J162-H162-I162</x:f>
        <x:v>42</x:v>
      </x:c>
      <x:c r="L162" s="19">
        <x:f>K162/D162</x:f>
        <x:v>42</x:v>
      </x:c>
      <x:c r="M162" s="25" t="str">
        <x:f>IF(L162&lt;=10,119,"")</x:f>
        <x:v/>
      </x:c>
      <x:c r="O162" s="1"/>
    </x:row>
    <x:row r="163" spans="1:15" customFormat="1" ht="18" hidden="1" customHeight="1">
      <x:c r="A163" s="9" t="s">
        <x:v>176</x:v>
      </x:c>
      <x:c r="B163" s="15" t="s">
        <x:v>149</x:v>
      </x:c>
      <x:c r="C163" s="14" t="s">
        <x:v>229</x:v>
      </x:c>
      <x:c r="D163" s="1">
        <x:v>1</x:v>
      </x:c>
      <x:c r="E163" s="14" t="s">
        <x:v>76</x:v>
      </x:c>
      <x:c r="F163" s="1" t="s">
        <x:v>289</x:v>
      </x:c>
      <x:c r="G163" s="7">
        <x:f>'2026.9.7'!K155</x:f>
        <x:v>0</x:v>
      </x:c>
      <x:c r="H163" s="1">
        <x:f>I10</x:f>
        <x:v>0</x:v>
      </x:c>
      <x:c r="I163" s="1"/>
      <x:c r="J163" s="1"/>
      <x:c r="K163" s="22">
        <x:f>G163+J163-H163-I163</x:f>
        <x:v>0</x:v>
      </x:c>
      <x:c r="L163" s="19">
        <x:f>K163/D163</x:f>
        <x:v>0</x:v>
      </x:c>
      <x:c r="M163" s="25">
        <x:f>IF(L163&lt;=10,119,"")</x:f>
        <x:v>119</x:v>
      </x:c>
      <x:c r="O163" s="1"/>
    </x:row>
    <x:row r="164" spans="1:15" customFormat="1" ht="18" hidden="1" customHeight="1">
      <x:c r="A164" s="9" t="s">
        <x:v>176</x:v>
      </x:c>
      <x:c r="B164" s="15" t="s">
        <x:v>149</x:v>
      </x:c>
      <x:c r="C164" s="14" t="s">
        <x:v>229</x:v>
      </x:c>
      <x:c r="D164" s="1">
        <x:v>1</x:v>
      </x:c>
      <x:c r="E164" s="14" t="s">
        <x:v>76</x:v>
      </x:c>
      <x:c r="F164" s="6" t="s">
        <x:v>162</x:v>
      </x:c>
      <x:c r="G164" s="7">
        <x:f>'2026.9.7'!K156</x:f>
        <x:v>0</x:v>
      </x:c>
      <x:c r="H164" s="1">
        <x:f>I10</x:f>
        <x:v>0</x:v>
      </x:c>
      <x:c r="I164" s="1"/>
      <x:c r="J164" s="1"/>
      <x:c r="K164" s="22">
        <x:f>G164+J164-H164-I164</x:f>
        <x:v>0</x:v>
      </x:c>
      <x:c r="L164" s="19">
        <x:f>K164/D164</x:f>
        <x:v>0</x:v>
      </x:c>
      <x:c r="M164" s="25">
        <x:f>IF(L164&lt;=10,119,"")</x:f>
        <x:v>119</x:v>
      </x:c>
      <x:c r="O164" s="1"/>
    </x:row>
    <x:row r="165" spans="1:15" customFormat="1" ht="18" hidden="1" customHeight="1">
      <x:c r="A165" s="9" t="s">
        <x:v>176</x:v>
      </x:c>
      <x:c r="B165" s="15" t="s">
        <x:v>149</x:v>
      </x:c>
      <x:c r="C165" s="14" t="s">
        <x:v>229</x:v>
      </x:c>
      <x:c r="D165" s="1">
        <x:v>1</x:v>
      </x:c>
      <x:c r="E165" s="14" t="s">
        <x:v>6</x:v>
      </x:c>
      <x:c r="F165" s="1" t="s">
        <x:v>289</x:v>
      </x:c>
      <x:c r="G165" s="7">
        <x:f>'2026.9.7'!K157</x:f>
        <x:v>6</x:v>
      </x:c>
      <x:c r="H165" s="1">
        <x:f>SUM(I11,I14)*D165</x:f>
        <x:v>0</x:v>
      </x:c>
      <x:c r="I165" s="1"/>
      <x:c r="J165" s="1">
        <x:v>4</x:v>
      </x:c>
      <x:c r="K165" s="22">
        <x:f>G165+J165-H165-I165</x:f>
        <x:v>10</x:v>
      </x:c>
      <x:c r="L165" s="19">
        <x:f>K165/D165</x:f>
        <x:v>10</x:v>
      </x:c>
      <x:c r="M165" s="25">
        <x:f>IF(L165&lt;=10,119,"")</x:f>
        <x:v>119</x:v>
      </x:c>
      <x:c r="O165" s="1"/>
    </x:row>
    <x:row r="166" spans="1:15" customFormat="1" ht="18" hidden="1" customHeight="1">
      <x:c r="A166" s="9" t="s">
        <x:v>176</x:v>
      </x:c>
      <x:c r="B166" s="15" t="s">
        <x:v>149</x:v>
      </x:c>
      <x:c r="C166" s="14" t="s">
        <x:v>229</x:v>
      </x:c>
      <x:c r="D166" s="1">
        <x:v>1</x:v>
      </x:c>
      <x:c r="E166" s="14" t="s">
        <x:v>6</x:v>
      </x:c>
      <x:c r="F166" s="6" t="s">
        <x:v>162</x:v>
      </x:c>
      <x:c r="G166" s="7">
        <x:f>'2026.9.7'!K158</x:f>
        <x:v>6</x:v>
      </x:c>
      <x:c r="H166" s="1">
        <x:f>SUM(I11,I14)*D166</x:f>
        <x:v>0</x:v>
      </x:c>
      <x:c r="I166" s="1"/>
      <x:c r="J166" s="1">
        <x:v>4</x:v>
      </x:c>
      <x:c r="K166" s="22">
        <x:f>G166+J166-H166-I166</x:f>
        <x:v>10</x:v>
      </x:c>
      <x:c r="L166" s="19">
        <x:f>K166/D166</x:f>
        <x:v>10</x:v>
      </x:c>
      <x:c r="M166" s="25">
        <x:f>IF(L166&lt;=10,119,"")</x:f>
        <x:v>119</x:v>
      </x:c>
      <x:c r="O166" s="1"/>
    </x:row>
    <x:row r="167" spans="1:15" customFormat="1" ht="18" hidden="1" customHeight="1">
      <x:c r="A167" s="9" t="s">
        <x:v>176</x:v>
      </x:c>
      <x:c r="B167" s="15" t="s">
        <x:v>149</x:v>
      </x:c>
      <x:c r="C167" s="14" t="s">
        <x:v>229</x:v>
      </x:c>
      <x:c r="D167" s="1">
        <x:v>1</x:v>
      </x:c>
      <x:c r="E167" s="14" t="s">
        <x:v>239</x:v>
      </x:c>
      <x:c r="F167" s="1" t="s">
        <x:v>289</x:v>
      </x:c>
      <x:c r="G167" s="7">
        <x:f>'2026.9.7'!K159</x:f>
        <x:v>36</x:v>
      </x:c>
      <x:c r="H167" s="1">
        <x:f>SUM(I16,I18,I19)</x:f>
        <x:v>0</x:v>
      </x:c>
      <x:c r="I167" s="1"/>
      <x:c r="J167" s="1">
        <x:v>35</x:v>
      </x:c>
      <x:c r="K167" s="22">
        <x:f>G167+J167-H167-I167</x:f>
        <x:v>71</x:v>
      </x:c>
      <x:c r="L167" s="19">
        <x:f>K167/D167</x:f>
        <x:v>71</x:v>
      </x:c>
      <x:c r="M167" s="25" t="str">
        <x:f>IF(L167&lt;=10,119,"")</x:f>
        <x:v/>
      </x:c>
      <x:c r="O167" s="1"/>
    </x:row>
    <x:row r="168" spans="1:15" customFormat="1" ht="18" hidden="1" customHeight="1">
      <x:c r="A168" s="9" t="s">
        <x:v>176</x:v>
      </x:c>
      <x:c r="B168" s="15" t="s">
        <x:v>149</x:v>
      </x:c>
      <x:c r="C168" s="14" t="s">
        <x:v>229</x:v>
      </x:c>
      <x:c r="D168" s="1">
        <x:v>1</x:v>
      </x:c>
      <x:c r="E168" s="14" t="s">
        <x:v>239</x:v>
      </x:c>
      <x:c r="F168" s="6" t="s">
        <x:v>162</x:v>
      </x:c>
      <x:c r="G168" s="7">
        <x:f>'2026.9.7'!K160</x:f>
        <x:v>36</x:v>
      </x:c>
      <x:c r="H168" s="1">
        <x:f>SUM(I16,I18,I19)</x:f>
        <x:v>0</x:v>
      </x:c>
      <x:c r="I168" s="1"/>
      <x:c r="J168" s="1">
        <x:v>35</x:v>
      </x:c>
      <x:c r="K168" s="22">
        <x:f>G168+J168-H168-I168</x:f>
        <x:v>71</x:v>
      </x:c>
      <x:c r="L168" s="19">
        <x:f>K168/D168</x:f>
        <x:v>71</x:v>
      </x:c>
      <x:c r="M168" s="25" t="str">
        <x:f>IF(L168&lt;=10,119,"")</x:f>
        <x:v/>
      </x:c>
      <x:c r="O168" s="1"/>
    </x:row>
    <x:row r="169" spans="1:15" customFormat="1" ht="18" hidden="1" customHeight="1">
      <x:c r="A169" s="9" t="s">
        <x:v>176</x:v>
      </x:c>
      <x:c r="B169" s="15" t="s">
        <x:v>149</x:v>
      </x:c>
      <x:c r="C169" s="14" t="s">
        <x:v>229</x:v>
      </x:c>
      <x:c r="D169" s="1">
        <x:v>1</x:v>
      </x:c>
      <x:c r="E169" s="14" t="s">
        <x:v>70</x:v>
      </x:c>
      <x:c r="F169" s="1" t="s">
        <x:v>289</x:v>
      </x:c>
      <x:c r="G169" s="7">
        <x:f>'2026.9.7'!K161</x:f>
        <x:v>24</x:v>
      </x:c>
      <x:c r="H169" s="1">
        <x:f>I20</x:f>
        <x:v>0</x:v>
      </x:c>
      <x:c r="I169" s="1"/>
      <x:c r="J169" s="1">
        <x:v>45</x:v>
      </x:c>
      <x:c r="K169" s="22">
        <x:f>G169+J169-H169-I169</x:f>
        <x:v>69</x:v>
      </x:c>
      <x:c r="L169" s="19">
        <x:f>K169/D169</x:f>
        <x:v>69</x:v>
      </x:c>
      <x:c r="M169" s="25" t="str">
        <x:f>IF(L169&lt;=10,119,"")</x:f>
        <x:v/>
      </x:c>
      <x:c r="O169" s="1"/>
    </x:row>
    <x:row r="170" spans="1:15" customFormat="1" ht="18" hidden="1" customHeight="1">
      <x:c r="A170" s="9" t="s">
        <x:v>176</x:v>
      </x:c>
      <x:c r="B170" s="15" t="s">
        <x:v>149</x:v>
      </x:c>
      <x:c r="C170" s="14" t="s">
        <x:v>229</x:v>
      </x:c>
      <x:c r="D170" s="1">
        <x:v>1</x:v>
      </x:c>
      <x:c r="E170" s="14" t="s">
        <x:v>70</x:v>
      </x:c>
      <x:c r="F170" s="6" t="s">
        <x:v>162</x:v>
      </x:c>
      <x:c r="G170" s="7">
        <x:f>'2026.9.7'!K162</x:f>
        <x:v>24</x:v>
      </x:c>
      <x:c r="H170" s="1">
        <x:f>I20</x:f>
        <x:v>0</x:v>
      </x:c>
      <x:c r="I170" s="1"/>
      <x:c r="J170" s="1">
        <x:v>45</x:v>
      </x:c>
      <x:c r="K170" s="22">
        <x:f>G170+J170-H170-I170</x:f>
        <x:v>69</x:v>
      </x:c>
      <x:c r="L170" s="19">
        <x:f>K170/D170</x:f>
        <x:v>69</x:v>
      </x:c>
      <x:c r="M170" s="25" t="str">
        <x:f>IF(L170&lt;=10,119,"")</x:f>
        <x:v/>
      </x:c>
      <x:c r="O170" s="1"/>
    </x:row>
    <x:row r="171" spans="1:15" customFormat="1" ht="18" hidden="1" customHeight="1">
      <x:c r="A171" s="9" t="s">
        <x:v>176</x:v>
      </x:c>
      <x:c r="B171" s="15" t="s">
        <x:v>149</x:v>
      </x:c>
      <x:c r="C171" s="14" t="s">
        <x:v>229</x:v>
      </x:c>
      <x:c r="D171" s="1">
        <x:v>1</x:v>
      </x:c>
      <x:c r="E171" s="14" t="s">
        <x:v>244</x:v>
      </x:c>
      <x:c r="F171" s="1" t="s">
        <x:v>289</x:v>
      </x:c>
      <x:c r="G171" s="7">
        <x:f>'2026.9.7'!K163</x:f>
        <x:v>0</x:v>
      </x:c>
      <x:c r="H171" s="1">
        <x:f>I21*D171</x:f>
        <x:v>0</x:v>
      </x:c>
      <x:c r="I171" s="1"/>
      <x:c r="J171" s="1"/>
      <x:c r="K171" s="22">
        <x:f>G171+J171-H171-I171</x:f>
        <x:v>0</x:v>
      </x:c>
      <x:c r="L171" s="19">
        <x:f>K171/D171</x:f>
        <x:v>0</x:v>
      </x:c>
      <x:c r="M171" s="25">
        <x:f>IF(L171&lt;=10,119,"")</x:f>
        <x:v>119</x:v>
      </x:c>
      <x:c r="O171" s="1"/>
    </x:row>
    <x:row r="172" spans="1:15" customFormat="1" ht="18" hidden="1" customHeight="1">
      <x:c r="A172" s="9" t="s">
        <x:v>176</x:v>
      </x:c>
      <x:c r="B172" s="15" t="s">
        <x:v>149</x:v>
      </x:c>
      <x:c r="C172" s="14" t="s">
        <x:v>229</x:v>
      </x:c>
      <x:c r="D172" s="1">
        <x:v>1</x:v>
      </x:c>
      <x:c r="E172" s="14" t="s">
        <x:v>244</x:v>
      </x:c>
      <x:c r="F172" s="6" t="s">
        <x:v>162</x:v>
      </x:c>
      <x:c r="G172" s="7">
        <x:f>'2026.9.7'!K164</x:f>
        <x:v>0</x:v>
      </x:c>
      <x:c r="H172" s="1">
        <x:f>I21*D172</x:f>
        <x:v>0</x:v>
      </x:c>
      <x:c r="I172" s="1"/>
      <x:c r="J172" s="1"/>
      <x:c r="K172" s="22">
        <x:f>G172+J172-H172-I172</x:f>
        <x:v>0</x:v>
      </x:c>
      <x:c r="L172" s="19">
        <x:f>K172/D172</x:f>
        <x:v>0</x:v>
      </x:c>
      <x:c r="M172" s="25">
        <x:f>IF(L172&lt;=10,119,"")</x:f>
        <x:v>119</x:v>
      </x:c>
      <x:c r="O172" s="1"/>
    </x:row>
    <x:row r="173" spans="1:15" customFormat="1" ht="18" hidden="1" customHeight="1">
      <x:c r="A173" s="9" t="s">
        <x:v>176</x:v>
      </x:c>
      <x:c r="B173" s="15" t="s">
        <x:v>149</x:v>
      </x:c>
      <x:c r="C173" s="14" t="s">
        <x:v>229</x:v>
      </x:c>
      <x:c r="D173" s="1">
        <x:v>1</x:v>
      </x:c>
      <x:c r="E173" s="14" t="s">
        <x:v>247</x:v>
      </x:c>
      <x:c r="F173" s="1" t="s">
        <x:v>289</x:v>
      </x:c>
      <x:c r="G173" s="7">
        <x:f>'2026.9.7'!K165</x:f>
        <x:v>0</x:v>
      </x:c>
      <x:c r="H173" s="1">
        <x:f>I22*D173</x:f>
        <x:v>0</x:v>
      </x:c>
      <x:c r="I173" s="1"/>
      <x:c r="J173" s="1"/>
      <x:c r="K173" s="22">
        <x:f>G173+J173-H173-I173</x:f>
        <x:v>0</x:v>
      </x:c>
      <x:c r="L173" s="19">
        <x:f>K173/D173</x:f>
        <x:v>0</x:v>
      </x:c>
      <x:c r="M173" s="25">
        <x:f>IF(L173&lt;=10,119,"")</x:f>
        <x:v>119</x:v>
      </x:c>
      <x:c r="O173" s="1"/>
    </x:row>
    <x:row r="174" spans="1:15" customFormat="1" ht="18" hidden="1" customHeight="1">
      <x:c r="A174" s="9" t="s">
        <x:v>176</x:v>
      </x:c>
      <x:c r="B174" s="15" t="s">
        <x:v>149</x:v>
      </x:c>
      <x:c r="C174" s="14" t="s">
        <x:v>229</x:v>
      </x:c>
      <x:c r="D174" s="1">
        <x:v>1</x:v>
      </x:c>
      <x:c r="E174" s="14" t="s">
        <x:v>247</x:v>
      </x:c>
      <x:c r="F174" s="6" t="s">
        <x:v>162</x:v>
      </x:c>
      <x:c r="G174" s="7">
        <x:f>'2026.9.7'!K166</x:f>
        <x:v>0</x:v>
      </x:c>
      <x:c r="H174" s="1">
        <x:f>I22*D174</x:f>
        <x:v>0</x:v>
      </x:c>
      <x:c r="I174" s="1"/>
      <x:c r="J174" s="1"/>
      <x:c r="K174" s="22">
        <x:f>G174+J174-H174-I174</x:f>
        <x:v>0</x:v>
      </x:c>
      <x:c r="L174" s="19">
        <x:f>K174/D174</x:f>
        <x:v>0</x:v>
      </x:c>
      <x:c r="M174" s="25">
        <x:f>IF(L174&lt;=10,119,"")</x:f>
        <x:v>119</x:v>
      </x:c>
      <x:c r="O174" s="1"/>
    </x:row>
    <x:row r="175" spans="1:15" customFormat="1" ht="18" hidden="1" customHeight="1">
      <x:c r="A175" s="9" t="s">
        <x:v>176</x:v>
      </x:c>
      <x:c r="B175" s="15" t="s">
        <x:v>149</x:v>
      </x:c>
      <x:c r="C175" s="14" t="s">
        <x:v>229</x:v>
      </x:c>
      <x:c r="D175" s="1">
        <x:v>1</x:v>
      </x:c>
      <x:c r="E175" s="14" t="s">
        <x:v>22</x:v>
      </x:c>
      <x:c r="F175" s="1" t="s">
        <x:v>289</x:v>
      </x:c>
      <x:c r="G175" s="7">
        <x:f>'2026.9.7'!K167</x:f>
        <x:v>1</x:v>
      </x:c>
      <x:c r="H175" s="1">
        <x:f>I23*D175</x:f>
        <x:v>1</x:v>
      </x:c>
      <x:c r="I175" s="1"/>
      <x:c r="J175" s="1"/>
      <x:c r="K175" s="22">
        <x:f>G175+J175-H175-I175</x:f>
        <x:v>0</x:v>
      </x:c>
      <x:c r="L175" s="19">
        <x:f>K175/D175</x:f>
        <x:v>0</x:v>
      </x:c>
      <x:c r="M175" s="25">
        <x:f>IF(L175&lt;=10,119,"")</x:f>
        <x:v>119</x:v>
      </x:c>
      <x:c r="O175" s="1"/>
    </x:row>
    <x:row r="176" spans="1:15" customFormat="1" ht="18" hidden="1" customHeight="1">
      <x:c r="A176" s="9" t="s">
        <x:v>176</x:v>
      </x:c>
      <x:c r="B176" s="15" t="s">
        <x:v>149</x:v>
      </x:c>
      <x:c r="C176" s="14" t="s">
        <x:v>229</x:v>
      </x:c>
      <x:c r="D176" s="1">
        <x:v>1</x:v>
      </x:c>
      <x:c r="E176" s="14" t="s">
        <x:v>22</x:v>
      </x:c>
      <x:c r="F176" s="6" t="s">
        <x:v>162</x:v>
      </x:c>
      <x:c r="G176" s="7">
        <x:f>'2026.9.7'!K168</x:f>
        <x:v>1</x:v>
      </x:c>
      <x:c r="H176" s="1">
        <x:f>I23*D176</x:f>
        <x:v>1</x:v>
      </x:c>
      <x:c r="I176" s="1"/>
      <x:c r="J176" s="1"/>
      <x:c r="K176" s="22">
        <x:f>G176+J176-H176-I176</x:f>
        <x:v>0</x:v>
      </x:c>
      <x:c r="L176" s="19">
        <x:f>K176/D176</x:f>
        <x:v>0</x:v>
      </x:c>
      <x:c r="M176" s="25">
        <x:f>IF(L176&lt;=10,119,"")</x:f>
        <x:v>119</x:v>
      </x:c>
      <x:c r="O176" s="1"/>
    </x:row>
    <x:row r="177" spans="1:15" customFormat="1" ht="18" hidden="1" customHeight="1">
      <x:c r="A177" s="9" t="s">
        <x:v>176</x:v>
      </x:c>
      <x:c r="B177" s="15" t="s">
        <x:v>149</x:v>
      </x:c>
      <x:c r="C177" s="14" t="s">
        <x:v>229</x:v>
      </x:c>
      <x:c r="D177" s="1">
        <x:v>1</x:v>
      </x:c>
      <x:c r="E177" s="14" t="s">
        <x:v>96</x:v>
      </x:c>
      <x:c r="F177" s="1" t="s">
        <x:v>289</x:v>
      </x:c>
      <x:c r="G177" s="7">
        <x:f>'2026.9.7'!K169</x:f>
        <x:v>2</x:v>
      </x:c>
      <x:c r="H177" s="1">
        <x:f>I24*D177</x:f>
        <x:v>0</x:v>
      </x:c>
      <x:c r="I177" s="1"/>
      <x:c r="J177" s="1"/>
      <x:c r="K177" s="22">
        <x:f>G177+J177-H177-I177</x:f>
        <x:v>2</x:v>
      </x:c>
      <x:c r="L177" s="19">
        <x:f>K177/D177</x:f>
        <x:v>2</x:v>
      </x:c>
      <x:c r="M177" s="25">
        <x:f>IF(L177&lt;=10,119,"")</x:f>
        <x:v>119</x:v>
      </x:c>
      <x:c r="O177" s="1"/>
    </x:row>
    <x:row r="178" spans="1:15" customFormat="1" ht="18" hidden="1" customHeight="1">
      <x:c r="A178" s="9" t="s">
        <x:v>176</x:v>
      </x:c>
      <x:c r="B178" s="15" t="s">
        <x:v>149</x:v>
      </x:c>
      <x:c r="C178" s="14" t="s">
        <x:v>229</x:v>
      </x:c>
      <x:c r="D178" s="1">
        <x:v>1</x:v>
      </x:c>
      <x:c r="E178" s="14" t="s">
        <x:v>96</x:v>
      </x:c>
      <x:c r="F178" s="6" t="s">
        <x:v>162</x:v>
      </x:c>
      <x:c r="G178" s="7">
        <x:f>'2026.9.7'!K170</x:f>
        <x:v>2</x:v>
      </x:c>
      <x:c r="H178" s="1">
        <x:f>I24*D178</x:f>
        <x:v>0</x:v>
      </x:c>
      <x:c r="I178" s="1"/>
      <x:c r="J178" s="1"/>
      <x:c r="K178" s="22">
        <x:f>G178+J178-H178-I178</x:f>
        <x:v>2</x:v>
      </x:c>
      <x:c r="L178" s="19">
        <x:f>K178/D178</x:f>
        <x:v>2</x:v>
      </x:c>
      <x:c r="M178" s="25">
        <x:f>IF(L178&lt;=10,119,"")</x:f>
        <x:v>119</x:v>
      </x:c>
      <x:c r="O178" s="1"/>
    </x:row>
    <x:row r="179" spans="1:15" customFormat="1" ht="18" hidden="1" customHeight="1">
      <x:c r="A179" s="9" t="s">
        <x:v>176</x:v>
      </x:c>
      <x:c r="B179" s="15" t="s">
        <x:v>149</x:v>
      </x:c>
      <x:c r="C179" s="14" t="s">
        <x:v>229</x:v>
      </x:c>
      <x:c r="D179" s="1">
        <x:v>1</x:v>
      </x:c>
      <x:c r="E179" s="14" t="s">
        <x:v>83</x:v>
      </x:c>
      <x:c r="F179" s="1" t="s">
        <x:v>289</x:v>
      </x:c>
      <x:c r="G179" s="7">
        <x:f>'2026.9.7'!K171</x:f>
        <x:v>0</x:v>
      </x:c>
      <x:c r="H179" s="1">
        <x:f>K5</x:f>
        <x:v>0</x:v>
      </x:c>
      <x:c r="I179" s="1"/>
      <x:c r="J179" s="1"/>
      <x:c r="K179" s="22">
        <x:f>G179+J179-H179-I179</x:f>
        <x:v>0</x:v>
      </x:c>
      <x:c r="L179" s="19">
        <x:f>K179/D179</x:f>
        <x:v>0</x:v>
      </x:c>
      <x:c r="M179" s="25">
        <x:f>IF(L179&lt;=10,119,"")</x:f>
        <x:v>119</x:v>
      </x:c>
      <x:c r="O179" s="1"/>
    </x:row>
    <x:row r="180" spans="1:15" customFormat="1" ht="18" hidden="1" customHeight="1">
      <x:c r="A180" s="9" t="s">
        <x:v>176</x:v>
      </x:c>
      <x:c r="B180" s="15" t="s">
        <x:v>149</x:v>
      </x:c>
      <x:c r="C180" s="14" t="s">
        <x:v>229</x:v>
      </x:c>
      <x:c r="D180" s="1">
        <x:v>1</x:v>
      </x:c>
      <x:c r="E180" s="14" t="s">
        <x:v>83</x:v>
      </x:c>
      <x:c r="F180" s="6" t="s">
        <x:v>162</x:v>
      </x:c>
      <x:c r="G180" s="7">
        <x:f>'2026.9.7'!K172</x:f>
        <x:v>0</x:v>
      </x:c>
      <x:c r="H180" s="1">
        <x:f>K5</x:f>
        <x:v>0</x:v>
      </x:c>
      <x:c r="I180" s="1"/>
      <x:c r="J180" s="1"/>
      <x:c r="K180" s="22">
        <x:f>G180+J180-H180-I180</x:f>
        <x:v>0</x:v>
      </x:c>
      <x:c r="L180" s="19">
        <x:f>K180/D180</x:f>
        <x:v>0</x:v>
      </x:c>
      <x:c r="M180" s="25">
        <x:f>IF(L180&lt;=10,119,"")</x:f>
        <x:v>119</x:v>
      </x:c>
      <x:c r="O180" s="1"/>
    </x:row>
    <x:row r="181" spans="1:15" customFormat="1" ht="18" hidden="1" customHeight="1">
      <x:c r="A181" s="9" t="s">
        <x:v>176</x:v>
      </x:c>
      <x:c r="B181" s="15" t="s">
        <x:v>149</x:v>
      </x:c>
      <x:c r="C181" s="14" t="s">
        <x:v>229</x:v>
      </x:c>
      <x:c r="D181" s="1">
        <x:v>1</x:v>
      </x:c>
      <x:c r="E181" s="14" t="s">
        <x:v>41</x:v>
      </x:c>
      <x:c r="F181" s="1" t="s">
        <x:v>289</x:v>
      </x:c>
      <x:c r="G181" s="7">
        <x:f>'2026.9.7'!K173</x:f>
        <x:v>0</x:v>
      </x:c>
      <x:c r="H181" s="1">
        <x:f>K6</x:f>
        <x:v>0</x:v>
      </x:c>
      <x:c r="I181" s="1"/>
      <x:c r="J181" s="1"/>
      <x:c r="K181" s="22">
        <x:f>G181+J181-H181-I181</x:f>
        <x:v>0</x:v>
      </x:c>
      <x:c r="L181" s="19">
        <x:f>K181/D181</x:f>
        <x:v>0</x:v>
      </x:c>
      <x:c r="M181" s="25">
        <x:f>IF(L181&lt;=10,119,"")</x:f>
        <x:v>119</x:v>
      </x:c>
      <x:c r="O181" s="1"/>
    </x:row>
    <x:row r="182" spans="1:15" customFormat="1" ht="18" hidden="1" customHeight="1">
      <x:c r="A182" s="9" t="s">
        <x:v>176</x:v>
      </x:c>
      <x:c r="B182" s="15" t="s">
        <x:v>149</x:v>
      </x:c>
      <x:c r="C182" s="14" t="s">
        <x:v>229</x:v>
      </x:c>
      <x:c r="D182" s="1">
        <x:v>1</x:v>
      </x:c>
      <x:c r="E182" s="14" t="s">
        <x:v>41</x:v>
      </x:c>
      <x:c r="F182" s="6" t="s">
        <x:v>162</x:v>
      </x:c>
      <x:c r="G182" s="7">
        <x:f>'2026.9.7'!K174</x:f>
        <x:v>0</x:v>
      </x:c>
      <x:c r="H182" s="1">
        <x:f>K6</x:f>
        <x:v>0</x:v>
      </x:c>
      <x:c r="I182" s="1"/>
      <x:c r="J182" s="1"/>
      <x:c r="K182" s="22">
        <x:f>G182+J182-H182-I182</x:f>
        <x:v>0</x:v>
      </x:c>
      <x:c r="L182" s="19">
        <x:f>K182/D182</x:f>
        <x:v>0</x:v>
      </x:c>
      <x:c r="M182" s="25">
        <x:f>IF(L182&lt;=10,119,"")</x:f>
        <x:v>119</x:v>
      </x:c>
      <x:c r="O182" s="1"/>
    </x:row>
    <x:row r="183" spans="1:15" customFormat="1" ht="18" hidden="1" customHeight="1">
      <x:c r="A183" s="9" t="s">
        <x:v>176</x:v>
      </x:c>
      <x:c r="B183" s="15" t="s">
        <x:v>149</x:v>
      </x:c>
      <x:c r="C183" s="14" t="s">
        <x:v>229</x:v>
      </x:c>
      <x:c r="D183" s="1">
        <x:v>1</x:v>
      </x:c>
      <x:c r="E183" s="14" t="s">
        <x:v>47</x:v>
      </x:c>
      <x:c r="F183" s="1" t="s">
        <x:v>289</x:v>
      </x:c>
      <x:c r="G183" s="7">
        <x:f>'2026.9.7'!K175</x:f>
        <x:v>9</x:v>
      </x:c>
      <x:c r="H183" s="1">
        <x:f>K7</x:f>
        <x:v>0</x:v>
      </x:c>
      <x:c r="I183" s="1"/>
      <x:c r="J183" s="1"/>
      <x:c r="K183" s="22">
        <x:f>G183+J183-H183-I183</x:f>
        <x:v>9</x:v>
      </x:c>
      <x:c r="L183" s="19">
        <x:f>K183/D183</x:f>
        <x:v>9</x:v>
      </x:c>
      <x:c r="M183" s="25">
        <x:f>IF(L183&lt;=10,119,"")</x:f>
        <x:v>119</x:v>
      </x:c>
      <x:c r="O183" s="1"/>
    </x:row>
    <x:row r="184" spans="1:15" customFormat="1" ht="18" hidden="1" customHeight="1">
      <x:c r="A184" s="9" t="s">
        <x:v>176</x:v>
      </x:c>
      <x:c r="B184" s="15" t="s">
        <x:v>149</x:v>
      </x:c>
      <x:c r="C184" s="14" t="s">
        <x:v>229</x:v>
      </x:c>
      <x:c r="D184" s="1">
        <x:v>1</x:v>
      </x:c>
      <x:c r="E184" s="14" t="s">
        <x:v>47</x:v>
      </x:c>
      <x:c r="F184" s="6" t="s">
        <x:v>162</x:v>
      </x:c>
      <x:c r="G184" s="7">
        <x:f>'2026.9.7'!K176</x:f>
        <x:v>9</x:v>
      </x:c>
      <x:c r="H184" s="1">
        <x:f>K7</x:f>
        <x:v>0</x:v>
      </x:c>
      <x:c r="I184" s="1"/>
      <x:c r="J184" s="1"/>
      <x:c r="K184" s="22">
        <x:f>G184+J184-H184-I184</x:f>
        <x:v>9</x:v>
      </x:c>
      <x:c r="L184" s="19">
        <x:f>K184/D184</x:f>
        <x:v>9</x:v>
      </x:c>
      <x:c r="M184" s="25">
        <x:f>IF(L184&lt;=10,119,"")</x:f>
        <x:v>119</x:v>
      </x:c>
      <x:c r="O184" s="1"/>
    </x:row>
    <x:row r="185" spans="1:15" customFormat="1" ht="18" hidden="1" customHeight="1">
      <x:c r="A185" s="9" t="s">
        <x:v>176</x:v>
      </x:c>
      <x:c r="B185" s="15" t="s">
        <x:v>149</x:v>
      </x:c>
      <x:c r="C185" s="14" t="s">
        <x:v>229</x:v>
      </x:c>
      <x:c r="D185" s="1">
        <x:v>1</x:v>
      </x:c>
      <x:c r="E185" s="14" t="s">
        <x:v>73</x:v>
      </x:c>
      <x:c r="F185" s="1" t="s">
        <x:v>289</x:v>
      </x:c>
      <x:c r="G185" s="7">
        <x:f>'2026.9.7'!K177</x:f>
        <x:v>5</x:v>
      </x:c>
      <x:c r="H185" s="1">
        <x:f>K8</x:f>
        <x:v>0</x:v>
      </x:c>
      <x:c r="I185" s="1"/>
      <x:c r="J185" s="1"/>
      <x:c r="K185" s="22">
        <x:f>G185+J185-H185-I185</x:f>
        <x:v>5</x:v>
      </x:c>
      <x:c r="L185" s="19">
        <x:f>K185/D185</x:f>
        <x:v>5</x:v>
      </x:c>
      <x:c r="M185" s="25">
        <x:f>IF(L185&lt;=10,119,"")</x:f>
        <x:v>119</x:v>
      </x:c>
      <x:c r="O185" s="1"/>
    </x:row>
    <x:row r="186" spans="1:15" customFormat="1" ht="18" hidden="1" customHeight="1">
      <x:c r="A186" s="9" t="s">
        <x:v>176</x:v>
      </x:c>
      <x:c r="B186" s="15" t="s">
        <x:v>149</x:v>
      </x:c>
      <x:c r="C186" s="14" t="s">
        <x:v>229</x:v>
      </x:c>
      <x:c r="D186" s="1">
        <x:v>1</x:v>
      </x:c>
      <x:c r="E186" s="14" t="s">
        <x:v>73</x:v>
      </x:c>
      <x:c r="F186" s="6" t="s">
        <x:v>162</x:v>
      </x:c>
      <x:c r="G186" s="7">
        <x:f>'2026.9.7'!K178</x:f>
        <x:v>5</x:v>
      </x:c>
      <x:c r="H186" s="1">
        <x:f>K8</x:f>
        <x:v>0</x:v>
      </x:c>
      <x:c r="I186" s="1"/>
      <x:c r="J186" s="1"/>
      <x:c r="K186" s="22">
        <x:f>G186+J186-H186-I186</x:f>
        <x:v>5</x:v>
      </x:c>
      <x:c r="L186" s="19">
        <x:f>K186/D186</x:f>
        <x:v>5</x:v>
      </x:c>
      <x:c r="M186" s="25">
        <x:f>IF(L186&lt;=10,119,"")</x:f>
        <x:v>119</x:v>
      </x:c>
      <x:c r="O186" s="1"/>
    </x:row>
    <x:row r="187" spans="1:15" customFormat="1" ht="18" hidden="1" customHeight="1">
      <x:c r="A187" s="9" t="s">
        <x:v>176</x:v>
      </x:c>
      <x:c r="B187" s="15" t="s">
        <x:v>180</x:v>
      </x:c>
      <x:c r="C187" s="14" t="s">
        <x:v>229</x:v>
      </x:c>
      <x:c r="D187" s="1">
        <x:v>1</x:v>
      </x:c>
      <x:c r="E187" s="14" t="s">
        <x:v>22</x:v>
      </x:c>
      <x:c r="F187" s="6" t="s">
        <x:v>37</x:v>
      </x:c>
      <x:c r="G187" s="7">
        <x:f>'2026.9.7'!K179</x:f>
        <x:v>1</x:v>
      </x:c>
      <x:c r="H187" s="1">
        <x:f>I23*D187</x:f>
        <x:v>1</x:v>
      </x:c>
      <x:c r="I187" s="1"/>
      <x:c r="J187" s="1"/>
      <x:c r="K187" s="22">
        <x:f>G187+J187-H187-I187</x:f>
        <x:v>0</x:v>
      </x:c>
      <x:c r="L187" s="19">
        <x:f>K187/D187</x:f>
        <x:v>0</x:v>
      </x:c>
      <x:c r="M187" s="25">
        <x:f>IF(L187&lt;=10,119,"")</x:f>
        <x:v>119</x:v>
      </x:c>
      <x:c r="O187" s="1"/>
    </x:row>
    <x:row r="188" spans="1:15" customFormat="1" ht="18" hidden="1" customHeight="1">
      <x:c r="A188" s="9" t="s">
        <x:v>176</x:v>
      </x:c>
      <x:c r="B188" s="15" t="s">
        <x:v>180</x:v>
      </x:c>
      <x:c r="C188" s="14" t="s">
        <x:v>229</x:v>
      </x:c>
      <x:c r="D188" s="1">
        <x:v>1</x:v>
      </x:c>
      <x:c r="E188" s="14" t="s">
        <x:v>96</x:v>
      </x:c>
      <x:c r="F188" s="6" t="s">
        <x:v>118</x:v>
      </x:c>
      <x:c r="G188" s="7">
        <x:f>'2026.9.7'!K180</x:f>
        <x:v>2</x:v>
      </x:c>
      <x:c r="H188" s="1">
        <x:f>I24*D188</x:f>
        <x:v>0</x:v>
      </x:c>
      <x:c r="I188" s="1"/>
      <x:c r="J188" s="1"/>
      <x:c r="K188" s="22">
        <x:f>G188+J188-H188-I188</x:f>
        <x:v>2</x:v>
      </x:c>
      <x:c r="L188" s="19">
        <x:f>K188/D188</x:f>
        <x:v>2</x:v>
      </x:c>
      <x:c r="M188" s="25">
        <x:f>IF(L188&lt;=10,119,"")</x:f>
        <x:v>119</x:v>
      </x:c>
      <x:c r="O188" s="1"/>
    </x:row>
    <x:row r="189" spans="1:15" hidden="1" customHeight="1">
      <x:c r="A189" s="9" t="s">
        <x:v>176</x:v>
      </x:c>
      <x:c r="B189" s="15" t="s">
        <x:v>163</x:v>
      </x:c>
      <x:c r="C189" s="14" t="s">
        <x:v>143</x:v>
      </x:c>
      <x:c r="D189" s="2">
        <x:v>16</x:v>
      </x:c>
      <x:c r="E189" s="9" t="s">
        <x:v>241</x:v>
      </x:c>
      <x:c r="F189" s="24" t="s">
        <x:v>35</x:v>
      </x:c>
      <x:c r="G189" s="7">
        <x:f>'2026.9.7'!K181</x:f>
        <x:v>916</x:v>
      </x:c>
      <x:c r="H189" s="1">
        <x:f>SUM(I5:I14)*16+SUM(I16:I19)*8</x:f>
        <x:v>0</x:v>
      </x:c>
      <x:c r="K189" s="22">
        <x:f>G189+J189-H189-I189</x:f>
        <x:v>916</x:v>
      </x:c>
      <x:c r="L189" s="19">
        <x:f>K189/D189</x:f>
        <x:v>57.25</x:v>
      </x:c>
      <x:c r="M189" s="25" t="str">
        <x:f>IF(L189&lt;=10,119,"")</x:f>
        <x:v/>
      </x:c>
      <x:c r="O189"/>
    </x:row>
    <x:row r="190" spans="1:15" hidden="1">
      <x:c r="A190" s="9" t="s">
        <x:v>176</x:v>
      </x:c>
      <x:c r="B190" s="15" t="s">
        <x:v>163</x:v>
      </x:c>
      <x:c r="C190" s="14" t="s">
        <x:v>143</x:v>
      </x:c>
      <x:c r="D190" s="2">
        <x:v>8</x:v>
      </x:c>
      <x:c r="E190" s="9" t="s">
        <x:v>241</x:v>
      </x:c>
      <x:c r="F190" s="1" t="s">
        <x:v>54</x:v>
      </x:c>
      <x:c r="G190" s="7">
        <x:f>'2026.9.7'!K182</x:f>
        <x:v>1190</x:v>
      </x:c>
      <x:c r="H190" s="1">
        <x:f>SUM(I5:I14)*8+SUM(I16:I19)*8</x:f>
        <x:v>0</x:v>
      </x:c>
      <x:c r="K190" s="22">
        <x:f>G190+J190-H190-I190</x:f>
        <x:v>1190</x:v>
      </x:c>
      <x:c r="L190" s="19">
        <x:f>K190/D190</x:f>
        <x:v>148.75</x:v>
      </x:c>
      <x:c r="M190" s="25" t="str">
        <x:f>IF(L190&lt;=10,119,"")</x:f>
        <x:v/>
      </x:c>
      <x:c r="O190"/>
    </x:row>
    <x:row r="191" spans="1:15" hidden="1">
      <x:c r="A191" s="9" t="s">
        <x:v>176</x:v>
      </x:c>
      <x:c r="B191" s="15" t="s">
        <x:v>163</x:v>
      </x:c>
      <x:c r="C191" s="14" t="s">
        <x:v>143</x:v>
      </x:c>
      <x:c r="D191" s="2">
        <x:v>8</x:v>
      </x:c>
      <x:c r="E191" s="9" t="s">
        <x:v>70</x:v>
      </x:c>
      <x:c r="F191" s="1" t="s">
        <x:v>20</x:v>
      </x:c>
      <x:c r="G191" s="7">
        <x:f>'2026.9.7'!K183</x:f>
        <x:v>740</x:v>
      </x:c>
      <x:c r="H191" s="1">
        <x:f>SUM(I20)*D191</x:f>
        <x:v>0</x:v>
      </x:c>
      <x:c r="K191" s="22">
        <x:f>G191+J191-H191-I191</x:f>
        <x:v>740</x:v>
      </x:c>
      <x:c r="L191" s="19">
        <x:f>K191/D191</x:f>
        <x:v>92.5</x:v>
      </x:c>
      <x:c r="M191" s="25" t="str">
        <x:f>IF(L191&lt;=10,119,"")</x:f>
        <x:v/>
      </x:c>
      <x:c r="O191"/>
    </x:row>
    <x:row r="192" spans="1:15" hidden="1">
      <x:c r="A192" s="9" t="s">
        <x:v>176</x:v>
      </x:c>
      <x:c r="B192" s="15" t="s">
        <x:v>163</x:v>
      </x:c>
      <x:c r="C192" s="14" t="s">
        <x:v>143</x:v>
      </x:c>
      <x:c r="D192" s="2">
        <x:v>8</x:v>
      </x:c>
      <x:c r="E192" s="9" t="s">
        <x:v>239</x:v>
      </x:c>
      <x:c r="F192" s="1" t="s">
        <x:v>58</x:v>
      </x:c>
      <x:c r="G192" s="7">
        <x:f>'2026.9.7'!K184</x:f>
        <x:v>130</x:v>
      </x:c>
      <x:c r="H192" s="1">
        <x:f>SUM(I16:I19)*D192</x:f>
        <x:v>0</x:v>
      </x:c>
      <x:c r="K192" s="22">
        <x:f>G192+J192-H192-I192</x:f>
        <x:v>130</x:v>
      </x:c>
      <x:c r="L192" s="19">
        <x:f>K192/D192</x:f>
        <x:v>16.25</x:v>
      </x:c>
      <x:c r="M192" s="25" t="str">
        <x:f>IF(L192&lt;=10,119,"")</x:f>
        <x:v/>
      </x:c>
      <x:c r="O192"/>
    </x:row>
    <x:row r="193" spans="1:15" hidden="1">
      <x:c r="A193" s="9" t="s">
        <x:v>176</x:v>
      </x:c>
      <x:c r="B193" s="15" t="s">
        <x:v>163</x:v>
      </x:c>
      <x:c r="C193" s="14" t="s">
        <x:v>143</x:v>
      </x:c>
      <x:c r="D193" s="2">
        <x:v>8</x:v>
      </x:c>
      <x:c r="E193" s="9" t="s">
        <x:v>70</x:v>
      </x:c>
      <x:c r="F193" s="1" t="s">
        <x:v>77</x:v>
      </x:c>
      <x:c r="G193" s="7">
        <x:f>'2026.9.7'!K185</x:f>
        <x:v>440</x:v>
      </x:c>
      <x:c r="H193" s="1">
        <x:f>I20*8</x:f>
        <x:v>0</x:v>
      </x:c>
      <x:c r="K193" s="22">
        <x:f>G193+J193-H193-I193</x:f>
        <x:v>440</x:v>
      </x:c>
      <x:c r="L193" s="19">
        <x:f>K193/D193</x:f>
        <x:v>55</x:v>
      </x:c>
      <x:c r="M193" s="25" t="str">
        <x:f>IF(L193&lt;=10,119,"")</x:f>
        <x:v/>
      </x:c>
      <x:c r="O193"/>
    </x:row>
    <x:row r="194" spans="1:15" hidden="1">
      <x:c r="A194" s="9" t="s">
        <x:v>176</x:v>
      </x:c>
      <x:c r="B194" s="15" t="s">
        <x:v>163</x:v>
      </x:c>
      <x:c r="C194" s="14" t="s">
        <x:v>143</x:v>
      </x:c>
      <x:c r="D194" s="2">
        <x:v>8</x:v>
      </x:c>
      <x:c r="E194" s="9" t="s">
        <x:v>277</x:v>
      </x:c>
      <x:c r="F194" s="1" t="s">
        <x:v>28</x:v>
      </x:c>
      <x:c r="G194" s="7">
        <x:f>'2026.9.7'!K186</x:f>
        <x:v>449</x:v>
      </x:c>
      <x:c r="H194" s="1">
        <x:f>SUM(I20,K8)*D194</x:f>
        <x:v>0</x:v>
      </x:c>
      <x:c r="K194" s="22">
        <x:f>G194+J194-H194-I194</x:f>
        <x:v>449</x:v>
      </x:c>
      <x:c r="L194" s="19">
        <x:f>K194/D194</x:f>
        <x:v>56.125</x:v>
      </x:c>
      <x:c r="M194" s="25" t="str">
        <x:f>IF(L194&lt;=10,119,"")</x:f>
        <x:v/>
      </x:c>
      <x:c r="O194"/>
    </x:row>
    <x:row r="195" spans="1:15" customFormat="1" hidden="1">
      <x:c r="A195" s="9" t="s">
        <x:v>176</x:v>
      </x:c>
      <x:c r="B195" s="15" t="s">
        <x:v>163</x:v>
      </x:c>
      <x:c r="C195" s="14">
        <x:v>10.9</x:v>
      </x:c>
      <x:c r="D195" s="2">
        <x:v>4</x:v>
      </x:c>
      <x:c r="E195" s="14" t="s">
        <x:v>244</x:v>
      </x:c>
      <x:c r="F195" s="1" t="s">
        <x:v>213</x:v>
      </x:c>
      <x:c r="G195" s="6">
        <x:v>26</x:v>
      </x:c>
      <x:c r="H195" s="1">
        <x:f>I21*D195</x:f>
        <x:v>0</x:v>
      </x:c>
      <x:c r="I195" s="1"/>
      <x:c r="J195" s="1"/>
      <x:c r="K195" s="22">
        <x:f>G195+J195-H195-I195</x:f>
        <x:v>26</x:v>
      </x:c>
      <x:c r="L195" s="19">
        <x:f>K195/D195</x:f>
        <x:v>6.5</x:v>
      </x:c>
      <x:c r="M195" s="25">
        <x:f>IF(L195&lt;=10,119,"")</x:f>
        <x:v>119</x:v>
      </x:c>
      <x:c r="O195" s="1"/>
    </x:row>
    <x:row r="196" spans="1:15" customFormat="1" hidden="1">
      <x:c r="A196" s="9" t="s">
        <x:v>176</x:v>
      </x:c>
      <x:c r="B196" s="15" t="s">
        <x:v>163</x:v>
      </x:c>
      <x:c r="C196" s="14">
        <x:v>10.9</x:v>
      </x:c>
      <x:c r="D196" s="2">
        <x:v>4</x:v>
      </x:c>
      <x:c r="E196" s="14" t="s">
        <x:v>276</x:v>
      </x:c>
      <x:c r="F196" s="1" t="s">
        <x:v>210</x:v>
      </x:c>
      <x:c r="G196" s="6">
        <x:v>3</x:v>
      </x:c>
      <x:c r="H196" s="1">
        <x:f>SUM(I21:I22)*D196</x:f>
        <x:v>0</x:v>
      </x:c>
      <x:c r="I196" s="1"/>
      <x:c r="J196" s="1"/>
      <x:c r="K196" s="22">
        <x:f>G196+J196-H196-I196</x:f>
        <x:v>3</x:v>
      </x:c>
      <x:c r="L196" s="19">
        <x:f>K196/D196</x:f>
        <x:v>0.75</x:v>
      </x:c>
      <x:c r="M196" s="25">
        <x:f>IF(L196&lt;=10,119,"")</x:f>
        <x:v>119</x:v>
      </x:c>
      <x:c r="O196" s="1"/>
    </x:row>
    <x:row r="197" spans="1:15" customFormat="1" hidden="1">
      <x:c r="A197" s="9" t="s">
        <x:v>176</x:v>
      </x:c>
      <x:c r="B197" s="15" t="s">
        <x:v>163</x:v>
      </x:c>
      <x:c r="C197" s="14">
        <x:v>10.9</x:v>
      </x:c>
      <x:c r="D197" s="2">
        <x:v>4</x:v>
      </x:c>
      <x:c r="E197" s="14" t="s">
        <x:v>247</x:v>
      </x:c>
      <x:c r="F197" s="1" t="s">
        <x:v>224</x:v>
      </x:c>
      <x:c r="G197" s="6">
        <x:v>6</x:v>
      </x:c>
      <x:c r="H197" s="1">
        <x:f>I22*D197</x:f>
        <x:v>0</x:v>
      </x:c>
      <x:c r="I197" s="1"/>
      <x:c r="J197" s="1"/>
      <x:c r="K197" s="22">
        <x:f>G197+J197-H197-I197</x:f>
        <x:v>6</x:v>
      </x:c>
      <x:c r="L197" s="19">
        <x:f>K197/D197</x:f>
        <x:v>1.5</x:v>
      </x:c>
      <x:c r="M197" s="25">
        <x:f>IF(L197&lt;=10,119,"")</x:f>
        <x:v>119</x:v>
      </x:c>
      <x:c r="O197" s="1"/>
    </x:row>
    <x:row r="198" spans="1:15" customFormat="1" hidden="1">
      <x:c r="A198" s="9" t="s">
        <x:v>176</x:v>
      </x:c>
      <x:c r="B198" s="15" t="s">
        <x:v>163</x:v>
      </x:c>
      <x:c r="C198" s="14">
        <x:v>10.9</x:v>
      </x:c>
      <x:c r="D198" s="2">
        <x:v>4</x:v>
      </x:c>
      <x:c r="E198" s="14" t="s">
        <x:v>276</x:v>
      </x:c>
      <x:c r="F198" s="1" t="s">
        <x:v>226</x:v>
      </x:c>
      <x:c r="G198" s="6">
        <x:v>2</x:v>
      </x:c>
      <x:c r="H198" s="1">
        <x:f>SUM(I21:I22)*D198</x:f>
        <x:v>0</x:v>
      </x:c>
      <x:c r="I198" s="1"/>
      <x:c r="J198" s="1"/>
      <x:c r="K198" s="22">
        <x:f>G198+J198-H198-I198</x:f>
        <x:v>2</x:v>
      </x:c>
      <x:c r="L198" s="19">
        <x:f>K198/D198</x:f>
        <x:v>0.5</x:v>
      </x:c>
      <x:c r="M198" s="25">
        <x:f>IF(L198&lt;=10,119,"")</x:f>
        <x:v>119</x:v>
      </x:c>
      <x:c r="O198" s="1"/>
    </x:row>
    <x:row r="199" spans="1:15" customFormat="1">
      <x:c r="A199" s="9" t="s">
        <x:v>176</x:v>
      </x:c>
      <x:c r="B199" s="15" t="s">
        <x:v>163</x:v>
      </x:c>
      <x:c r="C199" s="14" t="s">
        <x:v>143</x:v>
      </x:c>
      <x:c r="D199" s="2">
        <x:v>8</x:v>
      </x:c>
      <x:c r="E199" s="14" t="s">
        <x:v>11</x:v>
      </x:c>
      <x:c r="F199" s="1" t="s">
        <x:v>209</x:v>
      </x:c>
      <x:c r="G199" s="6">
        <x:v>31</x:v>
      </x:c>
      <x:c r="H199" s="1">
        <x:f>SUM(I23:I24)*D199</x:f>
        <x:v>8</x:v>
      </x:c>
      <x:c r="I199" s="1"/>
      <x:c r="J199" s="1"/>
      <x:c r="K199" s="22">
        <x:f>G199+J199-H199-I199</x:f>
        <x:v>23</x:v>
      </x:c>
      <x:c r="L199" s="19">
        <x:f>K199/D199</x:f>
        <x:v>2.875</x:v>
      </x:c>
      <x:c r="M199" s="25">
        <x:f>IF(L199&lt;=10,119,"")</x:f>
        <x:v>119</x:v>
      </x:c>
      <x:c r="O199" s="1"/>
    </x:row>
    <x:row r="200" spans="1:15" customFormat="1">
      <x:c r="A200" s="9" t="s">
        <x:v>176</x:v>
      </x:c>
      <x:c r="B200" s="15" t="s">
        <x:v>163</x:v>
      </x:c>
      <x:c r="C200" s="14" t="s">
        <x:v>143</x:v>
      </x:c>
      <x:c r="D200" s="2">
        <x:v>20</x:v>
      </x:c>
      <x:c r="E200" s="14" t="s">
        <x:v>11</x:v>
      </x:c>
      <x:c r="F200" s="1" t="s">
        <x:v>217</x:v>
      </x:c>
      <x:c r="G200" s="6">
        <x:v>134</x:v>
      </x:c>
      <x:c r="H200" s="1">
        <x:f>SUM(I23:I24)*D200</x:f>
        <x:v>20</x:v>
      </x:c>
      <x:c r="I200" s="1"/>
      <x:c r="J200" s="1"/>
      <x:c r="K200" s="22">
        <x:f>G200+J200-H200-I200</x:f>
        <x:v>114</x:v>
      </x:c>
      <x:c r="L200" s="19">
        <x:f>K200/D200</x:f>
        <x:v>5.7000000000000002</x:v>
      </x:c>
      <x:c r="M200" s="25">
        <x:f>IF(L200&lt;=10,119,"")</x:f>
        <x:v>119</x:v>
      </x:c>
      <x:c r="O200" s="1"/>
    </x:row>
    <x:row r="201" spans="1:15" customFormat="1">
      <x:c r="A201" s="9" t="s">
        <x:v>176</x:v>
      </x:c>
      <x:c r="B201" s="15" t="s">
        <x:v>163</x:v>
      </x:c>
      <x:c r="C201" s="14" t="s">
        <x:v>143</x:v>
      </x:c>
      <x:c r="D201" s="2">
        <x:v>8</x:v>
      </x:c>
      <x:c r="E201" s="14" t="s">
        <x:v>11</x:v>
      </x:c>
      <x:c r="F201" s="1" t="s">
        <x:v>228</x:v>
      </x:c>
      <x:c r="G201" s="6">
        <x:v>44</x:v>
      </x:c>
      <x:c r="H201" s="1">
        <x:f>SUM(I23:I24)*D201</x:f>
        <x:v>8</x:v>
      </x:c>
      <x:c r="I201" s="1"/>
      <x:c r="J201" s="1"/>
      <x:c r="K201" s="22">
        <x:f>G201+J201-H201-I201</x:f>
        <x:v>36</x:v>
      </x:c>
      <x:c r="L201" s="19">
        <x:f>K201/D201</x:f>
        <x:v>4.5</x:v>
      </x:c>
      <x:c r="M201" s="25">
        <x:f>IF(L201&lt;=10,119,"")</x:f>
        <x:v>119</x:v>
      </x:c>
      <x:c r="O201" s="1"/>
    </x:row>
    <x:row r="202" spans="1:15" hidden="1">
      <x:c r="A202" s="9" t="s">
        <x:v>176</x:v>
      </x:c>
      <x:c r="B202" s="15" t="s">
        <x:v>163</x:v>
      </x:c>
      <x:c r="C202" s="14" t="s">
        <x:v>143</x:v>
      </x:c>
      <x:c r="D202" s="2">
        <x:v>8</x:v>
      </x:c>
      <x:c r="E202" s="9" t="s">
        <x:v>47</x:v>
      </x:c>
      <x:c r="F202" s="1" t="s">
        <x:v>46</x:v>
      </x:c>
      <x:c r="G202" s="7">
        <x:f>'2026.9.7'!K187</x:f>
        <x:v>107</x:v>
      </x:c>
      <x:c r="H202" s="1">
        <x:f>K7*D202</x:f>
        <x:v>0</x:v>
      </x:c>
      <x:c r="K202" s="22">
        <x:f>G202+J202-H202-I202</x:f>
        <x:v>107</x:v>
      </x:c>
      <x:c r="L202" s="19">
        <x:f>K202/D202</x:f>
        <x:v>13.375</x:v>
      </x:c>
      <x:c r="M202" s="25" t="str">
        <x:f>IF(L202&lt;=10,119,"")</x:f>
        <x:v/>
      </x:c>
      <x:c r="O202"/>
    </x:row>
    <x:row r="203" spans="1:15" hidden="1">
      <x:c r="A203" s="9" t="s">
        <x:v>176</x:v>
      </x:c>
      <x:c r="B203" s="15" t="s">
        <x:v>163</x:v>
      </x:c>
      <x:c r="C203" s="14" t="s">
        <x:v>143</x:v>
      </x:c>
      <x:c r="D203" s="2">
        <x:v>4</x:v>
      </x:c>
      <x:c r="E203" s="9" t="s">
        <x:v>275</x:v>
      </x:c>
      <x:c r="F203" s="1" t="s">
        <x:v>42</x:v>
      </x:c>
      <x:c r="G203" s="7">
        <x:f>'2026.9.7'!K188</x:f>
        <x:v>122</x:v>
      </x:c>
      <x:c r="H203" s="1">
        <x:f>SUM(K7:K8)*D203</x:f>
        <x:v>0</x:v>
      </x:c>
      <x:c r="K203" s="22">
        <x:f>G203+J203-H203-I203</x:f>
        <x:v>122</x:v>
      </x:c>
      <x:c r="L203" s="19">
        <x:f>K203/D203</x:f>
        <x:v>30.5</x:v>
      </x:c>
      <x:c r="M203" s="25" t="str">
        <x:f>IF(L203&lt;=10,119,"")</x:f>
        <x:v/>
      </x:c>
      <x:c r="O203"/>
    </x:row>
    <x:row r="204" spans="1:15" hidden="1" customHeight="1">
      <x:c r="A204" s="9" t="s">
        <x:v>176</x:v>
      </x:c>
      <x:c r="B204" s="15" t="s">
        <x:v>163</x:v>
      </x:c>
      <x:c r="C204" s="14" t="s">
        <x:v>137</x:v>
      </x:c>
      <x:c r="D204" s="2">
        <x:v>4</x:v>
      </x:c>
      <x:c r="E204" s="9" t="s">
        <x:v>83</x:v>
      </x:c>
      <x:c r="F204" s="1" t="s">
        <x:v>208</x:v>
      </x:c>
      <x:c r="G204" s="7">
        <x:f>'2026.9.7'!K189</x:f>
        <x:v>110</x:v>
      </x:c>
      <x:c r="H204" s="1">
        <x:f>K5*D204</x:f>
        <x:v>0</x:v>
      </x:c>
      <x:c r="K204" s="22">
        <x:f>G204+J204-H204-I204</x:f>
        <x:v>110</x:v>
      </x:c>
      <x:c r="L204" s="19">
        <x:f>K204/D204</x:f>
        <x:v>27.5</x:v>
      </x:c>
      <x:c r="M204" s="25" t="str">
        <x:f>IF(L204&lt;=10,119,"")</x:f>
        <x:v/>
      </x:c>
      <x:c r="O204"/>
    </x:row>
    <x:row r="205" spans="1:15" hidden="1">
      <x:c r="A205" s="9" t="s">
        <x:v>176</x:v>
      </x:c>
      <x:c r="B205" s="15" t="s">
        <x:v>163</x:v>
      </x:c>
      <x:c r="C205" s="14" t="s">
        <x:v>137</x:v>
      </x:c>
      <x:c r="D205" s="2">
        <x:v>8</x:v>
      </x:c>
      <x:c r="E205" s="9" t="s">
        <x:v>83</x:v>
      </x:c>
      <x:c r="F205" s="1" t="s">
        <x:v>167</x:v>
      </x:c>
      <x:c r="G205" s="7">
        <x:f>'2026.9.7'!K190</x:f>
        <x:v>70</x:v>
      </x:c>
      <x:c r="H205" s="1">
        <x:f>K5*D205</x:f>
        <x:v>0</x:v>
      </x:c>
      <x:c r="K205" s="22">
        <x:f>G205+J205-H205-I205</x:f>
        <x:v>70</x:v>
      </x:c>
      <x:c r="L205" s="19">
        <x:f>K205/D205</x:f>
        <x:v>8.75</x:v>
      </x:c>
      <x:c r="M205" s="25">
        <x:f>IF(L205&lt;=10,119,"")</x:f>
        <x:v>119</x:v>
      </x:c>
      <x:c r="O205"/>
    </x:row>
    <x:row r="206" spans="1:15" customFormat="1" hidden="1">
      <x:c r="A206" s="9" t="s">
        <x:v>176</x:v>
      </x:c>
      <x:c r="B206" s="15" t="s">
        <x:v>163</x:v>
      </x:c>
      <x:c r="C206" s="14" t="s">
        <x:v>137</x:v>
      </x:c>
      <x:c r="D206" s="2">
        <x:v>4</x:v>
      </x:c>
      <x:c r="E206" s="9" t="s">
        <x:v>41</x:v>
      </x:c>
      <x:c r="F206" s="1" t="s">
        <x:v>168</x:v>
      </x:c>
      <x:c r="G206" s="7">
        <x:f>'2026.9.7'!K191</x:f>
        <x:v>64</x:v>
      </x:c>
      <x:c r="H206" s="1">
        <x:f>K6*G206</x:f>
        <x:v>0</x:v>
      </x:c>
      <x:c r="I206" s="1"/>
      <x:c r="J206" s="1"/>
      <x:c r="K206" s="22">
        <x:f>G206+J206-H206-I206</x:f>
        <x:v>64</x:v>
      </x:c>
      <x:c r="L206" s="19">
        <x:f>K206/D206</x:f>
        <x:v>16</x:v>
      </x:c>
      <x:c r="M206" s="25" t="str">
        <x:f>IF(L206&lt;=10,119,"")</x:f>
        <x:v/>
      </x:c>
      <x:c r="O206" s="1"/>
    </x:row>
    <x:row r="207" spans="1:15" customFormat="1" hidden="1">
      <x:c r="A207" s="9" t="s">
        <x:v>176</x:v>
      </x:c>
      <x:c r="B207" s="15" t="s">
        <x:v>163</x:v>
      </x:c>
      <x:c r="C207" s="14" t="s">
        <x:v>137</x:v>
      </x:c>
      <x:c r="D207" s="2">
        <x:v>8</x:v>
      </x:c>
      <x:c r="E207" s="9" t="s">
        <x:v>41</x:v>
      </x:c>
      <x:c r="F207" s="1" t="s">
        <x:v>139</x:v>
      </x:c>
      <x:c r="G207" s="7">
        <x:f>'2026.9.7'!K192</x:f>
        <x:v>49</x:v>
      </x:c>
      <x:c r="H207" s="1">
        <x:f>K6*D207</x:f>
        <x:v>0</x:v>
      </x:c>
      <x:c r="I207" s="1"/>
      <x:c r="J207" s="1"/>
      <x:c r="K207" s="22">
        <x:f>G207+J207-H207-I207</x:f>
        <x:v>49</x:v>
      </x:c>
      <x:c r="L207" s="19">
        <x:f>K207/D207</x:f>
        <x:v>6.125</x:v>
      </x:c>
      <x:c r="M207" s="25">
        <x:f>IF(L207&lt;=10,119,"")</x:f>
        <x:v>119</x:v>
      </x:c>
      <x:c r="O207" s="1"/>
    </x:row>
    <x:row r="208" spans="1:15" hidden="1">
      <x:c r="A208" s="9" t="s">
        <x:v>176</x:v>
      </x:c>
      <x:c r="B208" s="11" t="s">
        <x:v>290</x:v>
      </x:c>
      <x:c r="C208" s="9" t="s">
        <x:v>143</x:v>
      </x:c>
      <x:c r="D208" s="1">
        <x:v>24</x:v>
      </x:c>
      <x:c r="E208" s="9" t="s">
        <x:v>250</x:v>
      </x:c>
      <x:c r="F208" s="1" t="s">
        <x:v>205</x:v>
      </x:c>
      <x:c r="G208" s="7">
        <x:v>2640</x:v>
      </x:c>
      <x:c r="H208" s="1">
        <x:f>SUM(I5:I14)*D208</x:f>
        <x:v>0</x:v>
      </x:c>
      <x:c r="K208" s="22">
        <x:f>G208+J208-H208-I208</x:f>
        <x:v>2640</x:v>
      </x:c>
      <x:c r="L208" s="19">
        <x:f>K208/D208</x:f>
        <x:v>110</x:v>
      </x:c>
      <x:c r="M208" s="25" t="str">
        <x:f>IF(L208&lt;=10,119,"")</x:f>
        <x:v/>
      </x:c>
      <x:c r="O208"/>
    </x:row>
    <x:row r="209" spans="1:15" hidden="1">
      <x:c r="A209" s="9" t="s">
        <x:v>176</x:v>
      </x:c>
      <x:c r="B209" s="11" t="s">
        <x:v>290</x:v>
      </x:c>
      <x:c r="C209" s="9" t="s">
        <x:v>143</x:v>
      </x:c>
      <x:c r="D209" s="1">
        <x:v>24</x:v>
      </x:c>
      <x:c r="E209" s="9" t="s">
        <x:v>239</x:v>
      </x:c>
      <x:c r="F209" s="1" t="s">
        <x:v>178</x:v>
      </x:c>
      <x:c r="G209" s="7">
        <x:v>620</x:v>
      </x:c>
      <x:c r="H209" s="1">
        <x:f>SUM(I16:I19)*D209</x:f>
        <x:v>0</x:v>
      </x:c>
      <x:c r="K209" s="22">
        <x:f>G209+J209-H209-I209</x:f>
        <x:v>620</x:v>
      </x:c>
      <x:c r="L209" s="19">
        <x:f>K209/D209</x:f>
        <x:v>25.833333333333332</x:v>
      </x:c>
      <x:c r="M209" s="25" t="str">
        <x:f>IF(L209&lt;=10,119,"")</x:f>
        <x:v/>
      </x:c>
      <x:c r="O209"/>
    </x:row>
    <x:row r="210" spans="1:15" hidden="1">
      <x:c r="A210" s="9" t="s">
        <x:v>176</x:v>
      </x:c>
      <x:c r="B210" s="11" t="s">
        <x:v>290</x:v>
      </x:c>
      <x:c r="C210" s="9" t="s">
        <x:v>143</x:v>
      </x:c>
      <x:c r="D210" s="1">
        <x:v>24</x:v>
      </x:c>
      <x:c r="E210" s="9" t="s">
        <x:v>233</x:v>
      </x:c>
      <x:c r="F210" s="1" t="s">
        <x:v>222</x:v>
      </x:c>
      <x:c r="G210" s="7">
        <x:v>1500</x:v>
      </x:c>
      <x:c r="H210" s="1">
        <x:f>SUM(I5:I14)*24+SUM(I16:I19)*16+I20*12</x:f>
        <x:v>0</x:v>
      </x:c>
      <x:c r="K210" s="22">
        <x:f>G210+J210-H210-I210</x:f>
        <x:v>1500</x:v>
      </x:c>
      <x:c r="L210" s="19">
        <x:f>K210/D210</x:f>
        <x:v>62.5</x:v>
      </x:c>
      <x:c r="M210" s="25" t="str">
        <x:f>IF(L210&lt;=10,119,"")</x:f>
        <x:v/>
      </x:c>
      <x:c r="O210"/>
    </x:row>
    <x:row r="211" spans="1:15" hidden="1">
      <x:c r="A211" s="9" t="s">
        <x:v>176</x:v>
      </x:c>
      <x:c r="B211" s="11" t="s">
        <x:v>290</x:v>
      </x:c>
      <x:c r="C211" s="9" t="s">
        <x:v>143</x:v>
      </x:c>
      <x:c r="D211" s="1">
        <x:v>16</x:v>
      </x:c>
      <x:c r="E211" s="9" t="s">
        <x:v>248</x:v>
      </x:c>
      <x:c r="F211" s="1" t="s">
        <x:v>169</x:v>
      </x:c>
      <x:c r="G211" s="7">
        <x:f>'2026.9.7'!K196</x:f>
        <x:v>1150</x:v>
      </x:c>
      <x:c r="H211" s="1">
        <x:f>SUM(I16:I19)*8+(I20*16)</x:f>
        <x:v>0</x:v>
      </x:c>
      <x:c r="K211" s="22">
        <x:f>G211+J211-H211-I211</x:f>
        <x:v>1150</x:v>
      </x:c>
      <x:c r="L211" s="19">
        <x:f>K211/D211</x:f>
        <x:v>71.875</x:v>
      </x:c>
      <x:c r="M211" s="25" t="str">
        <x:f>IF(L211&lt;=10,119,"")</x:f>
        <x:v/>
      </x:c>
      <x:c r="O211"/>
    </x:row>
    <x:row r="212" spans="1:15" hidden="1">
      <x:c r="A212" s="9" t="s">
        <x:v>176</x:v>
      </x:c>
      <x:c r="B212" s="11" t="s">
        <x:v>290</x:v>
      </x:c>
      <x:c r="C212" s="9" t="s">
        <x:v>143</x:v>
      </x:c>
      <x:c r="D212" s="1">
        <x:v>8</x:v>
      </x:c>
      <x:c r="E212" s="9" t="s">
        <x:v>70</x:v>
      </x:c>
      <x:c r="F212" s="1" t="s">
        <x:v>188</x:v>
      </x:c>
      <x:c r="G212" s="7">
        <x:f>'2026.9.7'!K197</x:f>
        <x:v>900</x:v>
      </x:c>
      <x:c r="H212" s="1">
        <x:f>I20*D212</x:f>
        <x:v>0</x:v>
      </x:c>
      <x:c r="K212" s="22">
        <x:f>G212+J212-H212-I212</x:f>
        <x:v>900</x:v>
      </x:c>
      <x:c r="L212" s="19">
        <x:f>K212/D212</x:f>
        <x:v>112.5</x:v>
      </x:c>
      <x:c r="M212" s="25" t="str">
        <x:f>IF(L212&lt;=10,119,"")</x:f>
        <x:v/>
      </x:c>
      <x:c r="O212"/>
    </x:row>
    <x:row r="213" spans="1:15" customFormat="1" hidden="1">
      <x:c r="A213" s="9" t="s">
        <x:v>176</x:v>
      </x:c>
      <x:c r="B213" s="11" t="s">
        <x:v>290</x:v>
      </x:c>
      <x:c r="C213" s="9">
        <x:v>10.9</x:v>
      </x:c>
      <x:c r="D213" s="1">
        <x:v>5</x:v>
      </x:c>
      <x:c r="E213" s="14" t="s">
        <x:v>276</x:v>
      </x:c>
      <x:c r="F213" s="1" t="s">
        <x:v>222</x:v>
      </x:c>
      <x:c r="G213" s="6">
        <x:v>5</x:v>
      </x:c>
      <x:c r="H213" s="1">
        <x:f>SUM(I21:I22)*D213</x:f>
        <x:v>0</x:v>
      </x:c>
      <x:c r="I213" s="1"/>
      <x:c r="J213" s="1"/>
      <x:c r="K213" s="22">
        <x:f>G213+J213-H213-I213</x:f>
        <x:v>5</x:v>
      </x:c>
      <x:c r="L213" s="19">
        <x:f>K213/D213</x:f>
        <x:v>1</x:v>
      </x:c>
      <x:c r="M213" s="25">
        <x:f>IF(L213&lt;=10,119,"")</x:f>
        <x:v>119</x:v>
      </x:c>
      <x:c r="O213" s="1"/>
    </x:row>
    <x:row r="214" spans="1:15" customFormat="1">
      <x:c r="A214" s="9" t="s">
        <x:v>176</x:v>
      </x:c>
      <x:c r="B214" s="11" t="s">
        <x:v>290</x:v>
      </x:c>
      <x:c r="C214" s="9" t="s">
        <x:v>143</x:v>
      </x:c>
      <x:c r="D214" s="1">
        <x:v>28</x:v>
      </x:c>
      <x:c r="E214" s="14" t="s">
        <x:v>11</x:v>
      </x:c>
      <x:c r="F214" s="1" t="s">
        <x:v>197</x:v>
      </x:c>
      <x:c r="G214" s="6">
        <x:v>140</x:v>
      </x:c>
      <x:c r="H214" s="1">
        <x:f>SUM(I23:I24)*D214</x:f>
        <x:v>28</x:v>
      </x:c>
      <x:c r="I214" s="1"/>
      <x:c r="J214" s="1"/>
      <x:c r="K214" s="22">
        <x:f>G214+J214-H214-I214</x:f>
        <x:v>112</x:v>
      </x:c>
      <x:c r="L214" s="19">
        <x:f>K214/D214</x:f>
        <x:v>4</x:v>
      </x:c>
      <x:c r="M214" s="25">
        <x:f>IF(L214&lt;=10,119,"")</x:f>
        <x:v>119</x:v>
      </x:c>
      <x:c r="O214" s="1"/>
    </x:row>
    <x:row r="215" spans="1:15" hidden="1">
      <x:c r="A215" s="9" t="s">
        <x:v>176</x:v>
      </x:c>
      <x:c r="B215" s="11" t="s">
        <x:v>290</x:v>
      </x:c>
      <x:c r="C215" s="9" t="s">
        <x:v>143</x:v>
      </x:c>
      <x:c r="D215" s="1">
        <x:v>12</x:v>
      </x:c>
      <x:c r="E215" s="9" t="s">
        <x:v>275</x:v>
      </x:c>
      <x:c r="F215" s="1" t="s">
        <x:v>187</x:v>
      </x:c>
      <x:c r="G215" s="7">
        <x:f>'2026.9.7'!K198</x:f>
        <x:v>316</x:v>
      </x:c>
      <x:c r="H215" s="1">
        <x:f>SUM(K7:K8)*D215</x:f>
        <x:v>0</x:v>
      </x:c>
      <x:c r="K215" s="22">
        <x:f>G215+J215-H215-I215</x:f>
        <x:v>316</x:v>
      </x:c>
      <x:c r="L215" s="19">
        <x:f>K215/D215</x:f>
        <x:v>26.333333333333332</x:v>
      </x:c>
      <x:c r="M215" s="25" t="str">
        <x:f>IF(L215&lt;=10,119,"")</x:f>
        <x:v/>
      </x:c>
      <x:c r="O215"/>
    </x:row>
    <x:row r="216" spans="1:15" hidden="1">
      <x:c r="A216" s="9" t="s">
        <x:v>176</x:v>
      </x:c>
      <x:c r="B216" s="11" t="s">
        <x:v>290</x:v>
      </x:c>
      <x:c r="C216" s="9" t="s">
        <x:v>137</x:v>
      </x:c>
      <x:c r="D216" s="1">
        <x:v>12</x:v>
      </x:c>
      <x:c r="E216" s="9" t="s">
        <x:v>83</x:v>
      </x:c>
      <x:c r="F216" s="1" t="s">
        <x:v>169</x:v>
      </x:c>
      <x:c r="G216" s="7">
        <x:f>'2026.9.7'!K199</x:f>
        <x:v>320</x:v>
      </x:c>
      <x:c r="H216" s="1">
        <x:f>K5*D216</x:f>
        <x:v>0</x:v>
      </x:c>
      <x:c r="K216" s="22">
        <x:f>G216+J216-H216-I216</x:f>
        <x:v>320</x:v>
      </x:c>
      <x:c r="L216" s="19">
        <x:f>K216/D216</x:f>
        <x:v>26.666666666666668</x:v>
      </x:c>
      <x:c r="M216" s="25" t="str">
        <x:f>IF(L216&lt;=10,119,"")</x:f>
        <x:v/>
      </x:c>
      <x:c r="O216"/>
    </x:row>
    <x:row r="217" spans="1:15" hidden="1">
      <x:c r="A217" s="9" t="s">
        <x:v>176</x:v>
      </x:c>
      <x:c r="B217" s="11" t="s">
        <x:v>290</x:v>
      </x:c>
      <x:c r="C217" s="9" t="s">
        <x:v>137</x:v>
      </x:c>
      <x:c r="D217" s="1">
        <x:v>12</x:v>
      </x:c>
      <x:c r="E217" s="9" t="s">
        <x:v>41</x:v>
      </x:c>
      <x:c r="F217" s="1" t="s">
        <x:v>187</x:v>
      </x:c>
      <x:c r="G217" s="7">
        <x:f>'2026.9.7'!K200</x:f>
        <x:v>120</x:v>
      </x:c>
      <x:c r="H217" s="1">
        <x:f>K6*D217</x:f>
        <x:v>0</x:v>
      </x:c>
      <x:c r="K217" s="22">
        <x:f>G217+J217-H217-I217</x:f>
        <x:v>120</x:v>
      </x:c>
      <x:c r="L217" s="19">
        <x:f>K217/D217</x:f>
        <x:v>10</x:v>
      </x:c>
      <x:c r="M217" s="25">
        <x:f>IF(L217&lt;=10,119,"")</x:f>
        <x:v>119</x:v>
      </x:c>
      <x:c r="O217"/>
    </x:row>
    <x:row r="218" spans="1:15" hidden="1">
      <x:c r="A218" s="9" t="s">
        <x:v>176</x:v>
      </x:c>
      <x:c r="B218" s="11" t="s">
        <x:v>231</x:v>
      </x:c>
      <x:c r="C218" s="9" t="s">
        <x:v>143</x:v>
      </x:c>
      <x:c r="D218" s="1">
        <x:v>8</x:v>
      </x:c>
      <x:c r="E218" s="9" t="s">
        <x:v>250</x:v>
      </x:c>
      <x:c r="F218" s="1" t="s">
        <x:v>134</x:v>
      </x:c>
      <x:c r="G218" s="7">
        <x:f>'2026.9.7'!K201</x:f>
        <x:v>2400</x:v>
      </x:c>
      <x:c r="H218" s="1">
        <x:f>SUM(I5:I14)*D218</x:f>
        <x:v>0</x:v>
      </x:c>
      <x:c r="K218" s="22">
        <x:f>G218+J218-H218-I218</x:f>
        <x:v>2400</x:v>
      </x:c>
      <x:c r="L218" s="19">
        <x:f>K218/D218</x:f>
        <x:v>300</x:v>
      </x:c>
      <x:c r="M218" s="25" t="str">
        <x:f>IF(L218&lt;=10,119,"")</x:f>
        <x:v/>
      </x:c>
      <x:c r="O218"/>
    </x:row>
    <x:row r="219" spans="1:15" hidden="1">
      <x:c r="A219" s="9" t="s">
        <x:v>176</x:v>
      </x:c>
      <x:c r="B219" s="11" t="s">
        <x:v>231</x:v>
      </x:c>
      <x:c r="C219" s="9" t="s">
        <x:v>143</x:v>
      </x:c>
      <x:c r="D219" s="1">
        <x:v>4</x:v>
      </x:c>
      <x:c r="E219" s="9" t="s">
        <x:v>239</x:v>
      </x:c>
      <x:c r="F219" s="1" t="s">
        <x:v>135</x:v>
      </x:c>
      <x:c r="G219" s="7">
        <x:f>'2026.9.7'!K202</x:f>
        <x:v>1000</x:v>
      </x:c>
      <x:c r="H219" s="1">
        <x:f>SUM(I16:I19)*D219</x:f>
        <x:v>0</x:v>
      </x:c>
      <x:c r="K219" s="22">
        <x:f>G219+J219-H219-I219</x:f>
        <x:v>1000</x:v>
      </x:c>
      <x:c r="L219" s="19">
        <x:f>K219/D219</x:f>
        <x:v>250</x:v>
      </x:c>
      <x:c r="M219" s="25" t="str">
        <x:f>IF(L219&lt;=10,119,"")</x:f>
        <x:v/>
      </x:c>
      <x:c r="O219"/>
    </x:row>
    <x:row r="220" spans="1:15" hidden="1">
      <x:c r="A220" s="9" t="s">
        <x:v>176</x:v>
      </x:c>
      <x:c r="B220" s="11" t="s">
        <x:v>231</x:v>
      </x:c>
      <x:c r="C220" s="9" t="s">
        <x:v>143</x:v>
      </x:c>
      <x:c r="D220" s="1">
        <x:v>24</x:v>
      </x:c>
      <x:c r="E220" s="9" t="s">
        <x:v>233</x:v>
      </x:c>
      <x:c r="F220" s="1" t="s">
        <x:v>158</x:v>
      </x:c>
      <x:c r="G220" s="7">
        <x:f>'2026.9.7'!K203</x:f>
        <x:v>2200</x:v>
      </x:c>
      <x:c r="H220" s="1">
        <x:f>SUM(I5:I14)*24+SUM(I16:I19)*16+SUM(I20)*4</x:f>
        <x:v>0</x:v>
      </x:c>
      <x:c r="K220" s="22">
        <x:f>G220+J220-H220-I220</x:f>
        <x:v>2200</x:v>
      </x:c>
      <x:c r="L220" s="19">
        <x:f>K220/D220</x:f>
        <x:v>91.666666666666671</x:v>
      </x:c>
      <x:c r="M220" s="25" t="str">
        <x:f>IF(L220&lt;=10,119,"")</x:f>
        <x:v/>
      </x:c>
      <x:c r="O220"/>
    </x:row>
    <x:row r="221" spans="1:15" hidden="1">
      <x:c r="A221" s="9" t="s">
        <x:v>176</x:v>
      </x:c>
      <x:c r="B221" s="11" t="s">
        <x:v>231</x:v>
      </x:c>
      <x:c r="C221" s="9" t="s">
        <x:v>143</x:v>
      </x:c>
      <x:c r="D221" s="1">
        <x:v>18</x:v>
      </x:c>
      <x:c r="E221" s="9" t="s">
        <x:v>248</x:v>
      </x:c>
      <x:c r="F221" s="1" t="s">
        <x:v>173</x:v>
      </x:c>
      <x:c r="G221" s="7">
        <x:f>'2026.9.7'!K204</x:f>
        <x:v>1900</x:v>
      </x:c>
      <x:c r="H221" s="1">
        <x:f>SUM(I16:I19)*8+SUM(I20)*16</x:f>
        <x:v>0</x:v>
      </x:c>
      <x:c r="K221" s="22">
        <x:f>G221+J221-H221-I221</x:f>
        <x:v>1900</x:v>
      </x:c>
      <x:c r="L221" s="19">
        <x:f>K221/D221</x:f>
        <x:v>105.55555555555556</x:v>
      </x:c>
      <x:c r="M221" s="25" t="str">
        <x:f>IF(L221&lt;=10,119,"")</x:f>
        <x:v/>
      </x:c>
      <x:c r="O221"/>
    </x:row>
    <x:row r="222" spans="1:15" customFormat="1" hidden="1">
      <x:c r="A222" s="9" t="s">
        <x:v>176</x:v>
      </x:c>
      <x:c r="B222" s="11" t="s">
        <x:v>231</x:v>
      </x:c>
      <x:c r="C222" s="9">
        <x:v>10.9</x:v>
      </x:c>
      <x:c r="D222" s="1">
        <x:v>4</x:v>
      </x:c>
      <x:c r="E222" s="14" t="s">
        <x:v>276</x:v>
      </x:c>
      <x:c r="F222" s="1" t="s">
        <x:v>173</x:v>
      </x:c>
      <x:c r="G222" s="6">
        <x:v>2</x:v>
      </x:c>
      <x:c r="H222" s="1">
        <x:f>SUM(I21:I22)*D222</x:f>
        <x:v>0</x:v>
      </x:c>
      <x:c r="I222" s="1"/>
      <x:c r="J222" s="1"/>
      <x:c r="K222" s="22">
        <x:f>G222+J222-H222-I222</x:f>
        <x:v>2</x:v>
      </x:c>
      <x:c r="L222" s="19">
        <x:f>K222/D222</x:f>
        <x:v>0.5</x:v>
      </x:c>
      <x:c r="M222" s="25">
        <x:f>IF(L222&lt;=10,119,"")</x:f>
        <x:v>119</x:v>
      </x:c>
      <x:c r="O222" s="1"/>
    </x:row>
    <x:row r="223" spans="1:15" customFormat="1">
      <x:c r="A223" s="9" t="s">
        <x:v>176</x:v>
      </x:c>
      <x:c r="B223" s="11" t="s">
        <x:v>231</x:v>
      </x:c>
      <x:c r="C223" s="9" t="s">
        <x:v>143</x:v>
      </x:c>
      <x:c r="D223" s="1">
        <x:v>36</x:v>
      </x:c>
      <x:c r="E223" s="14" t="s">
        <x:v>11</x:v>
      </x:c>
      <x:c r="F223" s="1" t="s">
        <x:v>174</x:v>
      </x:c>
      <x:c r="G223" s="6">
        <x:v>146</x:v>
      </x:c>
      <x:c r="H223" s="1">
        <x:f>SUM(I23:I24)*D223</x:f>
        <x:v>36</x:v>
      </x:c>
      <x:c r="I223" s="1"/>
      <x:c r="J223" s="1"/>
      <x:c r="K223" s="22">
        <x:f>G223+J223-H223-I223</x:f>
        <x:v>110</x:v>
      </x:c>
      <x:c r="L223" s="19">
        <x:f>K223/D223</x:f>
        <x:v>3.0555555555555554</x:v>
      </x:c>
      <x:c r="M223" s="25">
        <x:f>IF(L223&lt;=10,119,"")</x:f>
        <x:v>119</x:v>
      </x:c>
      <x:c r="O223" s="1"/>
    </x:row>
    <x:row r="224" spans="1:15" hidden="1">
      <x:c r="A224" s="9" t="s">
        <x:v>176</x:v>
      </x:c>
      <x:c r="B224" s="11" t="s">
        <x:v>231</x:v>
      </x:c>
      <x:c r="C224" s="9" t="s">
        <x:v>143</x:v>
      </x:c>
      <x:c r="D224" s="1">
        <x:v>8</x:v>
      </x:c>
      <x:c r="E224" s="9" t="s">
        <x:v>70</x:v>
      </x:c>
      <x:c r="F224" s="1" t="s">
        <x:v>184</x:v>
      </x:c>
      <x:c r="G224" s="7">
        <x:f>'2026.9.7'!K205</x:f>
        <x:v>930</x:v>
      </x:c>
      <x:c r="H224" s="1">
        <x:f>I20*D224</x:f>
        <x:v>0</x:v>
      </x:c>
      <x:c r="K224" s="22">
        <x:f>G224+J224-H224-I224</x:f>
        <x:v>930</x:v>
      </x:c>
      <x:c r="L224" s="19">
        <x:f>K224/D224</x:f>
        <x:v>116.25</x:v>
      </x:c>
      <x:c r="M224" s="25" t="str">
        <x:f>IF(L224&lt;=10,119,"")</x:f>
        <x:v/>
      </x:c>
      <x:c r="O224"/>
    </x:row>
    <x:row r="225" spans="1:15" hidden="1">
      <x:c r="A225" s="9" t="s">
        <x:v>176</x:v>
      </x:c>
      <x:c r="B225" s="11" t="s">
        <x:v>14</x:v>
      </x:c>
      <x:c r="C225" s="9" t="s">
        <x:v>137</x:v>
      </x:c>
      <x:c r="D225" s="1">
        <x:v>14</x:v>
      </x:c>
      <x:c r="E225" s="9" t="s">
        <x:v>263</x:v>
      </x:c>
      <x:c r="F225" s="1" t="s">
        <x:v>166</x:v>
      </x:c>
      <x:c r="G225" s="7">
        <x:f>'2026.9.7'!K206</x:f>
        <x:v>156</x:v>
      </x:c>
      <x:c r="H225" s="1">
        <x:f>SUM(K5)*12+SUM(K6)*16+SUM(K7)*16+SUM(K8)*8</x:f>
        <x:v>0</x:v>
      </x:c>
      <x:c r="K225" s="22">
        <x:f>G225+J225-H225-I225</x:f>
        <x:v>156</x:v>
      </x:c>
      <x:c r="L225" s="19">
        <x:f>K225/D225</x:f>
        <x:v>11.142857142857142</x:v>
      </x:c>
      <x:c r="M225" s="25" t="str">
        <x:f>IF(L225&lt;=10,119,"")</x:f>
        <x:v/>
      </x:c>
      <x:c r="O225"/>
    </x:row>
    <x:row r="226" spans="1:15" hidden="1">
      <x:c r="A226" s="9" t="s">
        <x:v>176</x:v>
      </x:c>
      <x:c r="B226" s="11" t="s">
        <x:v>14</x:v>
      </x:c>
      <x:c r="C226" s="9" t="s">
        <x:v>137</x:v>
      </x:c>
      <x:c r="D226" s="1">
        <x:v>4</x:v>
      </x:c>
      <x:c r="E226" s="9" t="s">
        <x:v>83</x:v>
      </x:c>
      <x:c r="F226" s="1" t="s">
        <x:v>170</x:v>
      </x:c>
      <x:c r="G226" s="7">
        <x:f>'2026.9.7'!K207</x:f>
        <x:v>92</x:v>
      </x:c>
      <x:c r="H226" s="1">
        <x:f>K5*D226</x:f>
        <x:v>0</x:v>
      </x:c>
      <x:c r="K226" s="22">
        <x:f>G226+J226-H226-I226</x:f>
        <x:v>92</x:v>
      </x:c>
      <x:c r="L226" s="19">
        <x:f>K226/D226</x:f>
        <x:v>23</x:v>
      </x:c>
      <x:c r="M226" s="25" t="str">
        <x:f>IF(L226&lt;=10,119,"")</x:f>
        <x:v/>
      </x:c>
      <x:c r="O226"/>
    </x:row>
    <x:row r="227" spans="1:15" hidden="1">
      <x:c r="A227" s="9" t="s">
        <x:v>176</x:v>
      </x:c>
      <x:c r="B227" s="11" t="s">
        <x:v>14</x:v>
      </x:c>
      <x:c r="C227" s="9" t="s">
        <x:v>137</x:v>
      </x:c>
      <x:c r="D227" s="1">
        <x:v>8</x:v>
      </x:c>
      <x:c r="E227" s="9" t="s">
        <x:v>73</x:v>
      </x:c>
      <x:c r="F227" s="1" t="s">
        <x:v>153</x:v>
      </x:c>
      <x:c r="G227" s="7">
        <x:f>'2026.9.7'!K208</x:f>
        <x:v>47</x:v>
      </x:c>
      <x:c r="H227" s="1">
        <x:f>K8*D227</x:f>
        <x:v>0</x:v>
      </x:c>
      <x:c r="K227" s="22">
        <x:f>G227+J227-H227-I227</x:f>
        <x:v>47</x:v>
      </x:c>
      <x:c r="L227" s="19">
        <x:f>K227/D227</x:f>
        <x:v>5.875</x:v>
      </x:c>
      <x:c r="M227" s="25">
        <x:f>IF(L227&lt;=10,119,"")</x:f>
        <x:v>119</x:v>
      </x:c>
      <x:c r="O227"/>
    </x:row>
    <x:row r="228" spans="1:15" hidden="1">
      <x:c r="A228" s="9" t="s">
        <x:v>176</x:v>
      </x:c>
      <x:c r="B228" s="11" t="s">
        <x:v>14</x:v>
      </x:c>
      <x:c r="C228" s="9" t="s">
        <x:v>181</x:v>
      </x:c>
      <x:c r="D228" s="1">
        <x:v>8</x:v>
      </x:c>
      <x:c r="E228" s="14" t="s">
        <x:v>276</x:v>
      </x:c>
      <x:c r="F228" s="1" t="s">
        <x:v>170</x:v>
      </x:c>
      <x:c r="G228" s="1">
        <x:v>4</x:v>
      </x:c>
      <x:c r="H228" s="1">
        <x:f>SUM(I21:I22)*D228</x:f>
        <x:v>0</x:v>
      </x:c>
      <x:c r="K228" s="22">
        <x:f>G228+J228-H228-I228</x:f>
        <x:v>4</x:v>
      </x:c>
      <x:c r="L228" s="19">
        <x:f>K228/D228</x:f>
        <x:v>0.5</x:v>
      </x:c>
      <x:c r="M228" s="25">
        <x:f>IF(L228&lt;=10,119,"")</x:f>
        <x:v>119</x:v>
      </x:c>
      <x:c r="O228"/>
    </x:row>
  </x:sheetData>
  <x:autoFilter ref="A26:M228">
    <x:filterColumn colId="4">
      <x:filters>
        <x:filter val="SCR 2200A/2400A공용"/>
      </x:filters>
    </x:filterColumn>
  </x:autoFilter>
  <x:mergeCells count="3">
    <x:mergeCell ref="B10:F16"/>
    <x:mergeCell ref="H1:K1"/>
    <x:mergeCell ref="B17:F17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 filterMode="1"/>
  <x:dimension ref="A2:N230"/>
  <x:sheetViews>
    <x:sheetView topLeftCell="A1" zoomScaleNormal="100" workbookViewId="0">
      <x:selection activeCell="K204" activeCellId="0" sqref="K204:K204"/>
    </x:sheetView>
  </x:sheetViews>
  <x:sheetFormatPr defaultColWidth="9.00390625" defaultRowHeight="17.800000000000001"/>
  <x:cols>
    <x:col min="1" max="1" width="19" style="10" customWidth="1"/>
    <x:col min="2" max="2" width="12.375" style="1" customWidth="1"/>
    <x:col min="3" max="3" width="8.25" style="1" customWidth="1"/>
    <x:col min="4" max="4" width="26.1953125" style="2" bestFit="1" customWidth="1"/>
    <x:col min="5" max="5" width="18.5" style="1" customWidth="1"/>
    <x:col min="6" max="6" width="10.125" style="1" customWidth="1"/>
    <x:col min="7" max="7" width="14.75" style="1" customWidth="1"/>
    <x:col min="8" max="8" width="12.52734375" style="1" bestFit="1" customWidth="1"/>
    <x:col min="9" max="9" width="13.25" style="1" customWidth="1"/>
    <x:col min="10" max="10" width="12.52734375" style="29" bestFit="1" customWidth="1"/>
    <x:col min="11" max="11" width="14.375" style="18" customWidth="1"/>
    <x:col min="12" max="12" width="10.75" style="1" customWidth="1"/>
    <x:col min="13" max="13" width="10.625" customWidth="1"/>
    <x:col min="14" max="14" width="10.25" style="1" customWidth="1"/>
  </x:cols>
  <x:sheetData>
    <x:row r="2" spans="1:14" customFormat="1">
      <x:c r="A2" s="10"/>
      <x:c r="B2" s="1"/>
      <x:c r="C2" s="1"/>
      <x:c r="D2" s="2"/>
      <x:c r="E2" s="1"/>
      <x:c r="F2" s="1"/>
      <x:c r="G2" s="1"/>
      <x:c r="H2" s="1"/>
      <x:c r="I2" s="1"/>
      <x:c r="J2" s="29"/>
      <x:c r="K2" s="18"/>
      <x:c r="L2" s="1"/>
      <x:c r="N2" s="1"/>
    </x:row>
    <x:row r="3" spans="1:14" s="27" customFormat="1" ht="31.5" customHeight="1">
      <x:c r="A3" s="28"/>
      <x:c r="B3" s="28"/>
      <x:c r="C3" s="28"/>
      <x:c r="D3" s="28"/>
      <x:c r="E3" s="28"/>
      <x:c r="F3" s="28"/>
      <x:c r="G3" s="75" t="s">
        <x:v>2</x:v>
      </x:c>
      <x:c r="H3" s="75"/>
      <x:c r="I3" s="75"/>
      <x:c r="J3" s="75"/>
      <x:c r="K3" s="75"/>
      <x:c r="L3" s="75"/>
      <x:c r="M3" s="75"/>
      <x:c r="N3" s="75"/>
    </x:row>
    <x:row r="4" spans="1:14" customFormat="1" ht="17.25" customHeight="1">
      <x:c r="A4" s="10"/>
      <x:c r="B4" s="1"/>
      <x:c r="C4" s="1"/>
      <x:c r="D4" s="2"/>
      <x:c r="E4" s="1"/>
      <x:c r="F4" s="1"/>
      <x:c r="G4" s="16" t="s">
        <x:v>130</x:v>
      </x:c>
      <x:c r="H4" s="16" t="s">
        <x:v>142</x:v>
      </x:c>
      <x:c r="I4" s="16" t="s">
        <x:v>157</x:v>
      </x:c>
      <x:c r="J4" s="30" t="s">
        <x:v>142</x:v>
      </x:c>
      <x:c r="K4" s="16" t="s">
        <x:v>130</x:v>
      </x:c>
      <x:c r="L4" s="26" t="s">
        <x:v>283</x:v>
      </x:c>
      <x:c r="M4" s="16" t="s">
        <x:v>157</x:v>
      </x:c>
      <x:c r="N4" s="26" t="s">
        <x:v>283</x:v>
      </x:c>
    </x:row>
    <x:row r="5" spans="1:14" customFormat="1" ht="17.25" customHeight="1">
      <x:c r="A5" s="10"/>
      <x:c r="B5" s="1"/>
      <x:c r="C5" s="1"/>
      <x:c r="D5" s="2"/>
      <x:c r="E5" s="1"/>
      <x:c r="F5" s="1"/>
      <x:c r="G5" s="16" t="s">
        <x:v>23</x:v>
      </x:c>
      <x:c r="H5" s="16"/>
      <x:c r="I5" s="16"/>
      <x:c r="J5" s="16"/>
      <x:c r="K5" s="16" t="s">
        <x:v>23</x:v>
      </x:c>
      <x:c r="L5" s="26">
        <x:f>H6+'2026.9.8'!M3</x:f>
        <x:v>0</x:v>
      </x:c>
      <x:c r="M5" s="16"/>
      <x:c r="N5" s="26"/>
    </x:row>
    <x:row r="6" spans="1:14" customFormat="1" ht="17.25" customHeight="1">
      <x:c r="A6" s="10"/>
      <x:c r="B6" s="1"/>
      <x:c r="C6" s="1"/>
      <x:c r="D6" s="2"/>
      <x:c r="E6" s="1"/>
      <x:c r="F6" s="1"/>
      <x:c r="G6" s="16" t="s">
        <x:v>94</x:v>
      </x:c>
      <x:c r="H6" s="16"/>
      <x:c r="I6" s="16"/>
      <x:c r="J6" s="16"/>
      <x:c r="K6" s="16" t="s">
        <x:v>94</x:v>
      </x:c>
      <x:c r="L6" s="26">
        <x:f>H7+'2026.9.8'!M4</x:f>
        <x:v>0</x:v>
      </x:c>
      <x:c r="M6" s="16"/>
      <x:c r="N6" s="26"/>
    </x:row>
    <x:row r="7" spans="1:14" customFormat="1" ht="17.25" customHeight="1">
      <x:c r="A7" s="10"/>
      <x:c r="B7" s="1"/>
      <x:c r="C7" s="1"/>
      <x:c r="D7" s="2"/>
      <x:c r="E7" s="1"/>
      <x:c r="F7" s="1"/>
      <x:c r="G7" s="16" t="s">
        <x:v>27</x:v>
      </x:c>
      <x:c r="H7" s="16"/>
      <x:c r="I7" s="16" t="s">
        <x:v>83</x:v>
      </x:c>
      <x:c r="J7" s="16"/>
      <x:c r="K7" s="16" t="s">
        <x:v>27</x:v>
      </x:c>
      <x:c r="L7" s="26">
        <x:f>H8+'2026.9.8'!M5</x:f>
        <x:v>0</x:v>
      </x:c>
      <x:c r="M7" s="16" t="s">
        <x:v>83</x:v>
      </x:c>
      <x:c r="N7" s="26">
        <x:f>J7+'2026.9.8'!O5</x:f>
        <x:v>0</x:v>
      </x:c>
    </x:row>
    <x:row r="8" spans="1:14" customFormat="1" ht="17.25" customHeight="1">
      <x:c r="A8" s="10"/>
      <x:c r="B8" s="1"/>
      <x:c r="C8" s="1"/>
      <x:c r="D8" s="2"/>
      <x:c r="E8" s="1"/>
      <x:c r="F8" s="1"/>
      <x:c r="G8" s="16" t="s">
        <x:v>36</x:v>
      </x:c>
      <x:c r="H8" s="16"/>
      <x:c r="I8" s="16" t="s">
        <x:v>41</x:v>
      </x:c>
      <x:c r="J8" s="16"/>
      <x:c r="K8" s="16" t="s">
        <x:v>36</x:v>
      </x:c>
      <x:c r="L8" s="26">
        <x:f>H9+'2026.9.8'!M6</x:f>
        <x:v>0</x:v>
      </x:c>
      <x:c r="M8" s="16" t="s">
        <x:v>41</x:v>
      </x:c>
      <x:c r="N8" s="26">
        <x:f>J8+'2026.9.8'!O6</x:f>
        <x:v>0</x:v>
      </x:c>
    </x:row>
    <x:row r="9" spans="1:14" customFormat="1" ht="17.25" customHeight="1">
      <x:c r="A9" s="10"/>
      <x:c r="B9" s="1"/>
      <x:c r="C9" s="1"/>
      <x:c r="D9" s="2"/>
      <x:c r="E9" s="1"/>
      <x:c r="F9" s="1"/>
      <x:c r="G9" s="16" t="s">
        <x:v>55</x:v>
      </x:c>
      <x:c r="H9" s="16"/>
      <x:c r="I9" s="16" t="s">
        <x:v>47</x:v>
      </x:c>
      <x:c r="J9" s="16">
        <x:v>2</x:v>
      </x:c>
      <x:c r="K9" s="16" t="s">
        <x:v>55</x:v>
      </x:c>
      <x:c r="L9" s="26">
        <x:f>H10+'2026.9.8'!M7</x:f>
        <x:v>0</x:v>
      </x:c>
      <x:c r="M9" s="16" t="s">
        <x:v>47</x:v>
      </x:c>
      <x:c r="N9" s="26">
        <x:f>J9+'2026.9.8'!O7</x:f>
        <x:v>2</x:v>
      </x:c>
    </x:row>
    <x:row r="10" spans="1:14" customFormat="1" ht="17.25" customHeight="1">
      <x:c r="A10" s="10"/>
      <x:c r="B10" s="1"/>
      <x:c r="C10" s="1"/>
      <x:c r="D10" s="2"/>
      <x:c r="E10" s="1"/>
      <x:c r="F10" s="1"/>
      <x:c r="G10" s="16" t="s">
        <x:v>44</x:v>
      </x:c>
      <x:c r="H10" s="16"/>
      <x:c r="I10" s="16" t="s">
        <x:v>73</x:v>
      </x:c>
      <x:c r="J10" s="16">
        <x:v>3</x:v>
      </x:c>
      <x:c r="K10" s="16" t="s">
        <x:v>44</x:v>
      </x:c>
      <x:c r="L10" s="26">
        <x:f>H11+'2026.9.8'!M8</x:f>
        <x:v>0</x:v>
      </x:c>
      <x:c r="M10" s="16" t="s">
        <x:v>73</x:v>
      </x:c>
      <x:c r="N10" s="26">
        <x:f>J10+'2026.9.8'!O8</x:f>
        <x:v>4</x:v>
      </x:c>
    </x:row>
    <x:row r="11" spans="1:14" customFormat="1" ht="17.25" customHeight="1">
      <x:c r="A11" s="10"/>
      <x:c r="B11" s="1"/>
      <x:c r="C11" s="1"/>
      <x:c r="D11" s="2"/>
      <x:c r="E11" s="1"/>
      <x:c r="F11" s="1"/>
      <x:c r="G11" s="16" t="s">
        <x:v>255</x:v>
      </x:c>
      <x:c r="H11" s="16"/>
      <x:c r="I11" s="16"/>
      <x:c r="J11" s="16"/>
      <x:c r="K11" s="16" t="s">
        <x:v>255</x:v>
      </x:c>
      <x:c r="L11" s="26">
        <x:f>H12+'2026.9.8'!M9</x:f>
        <x:v>0</x:v>
      </x:c>
      <x:c r="M11" s="16"/>
      <x:c r="N11" s="26"/>
    </x:row>
    <x:row r="12" spans="1:14" customFormat="1" ht="17.25" customHeight="1">
      <x:c r="A12" s="66" t="s">
        <x:v>12</x:v>
      </x:c>
      <x:c r="B12" s="66"/>
      <x:c r="C12" s="66"/>
      <x:c r="D12" s="66"/>
      <x:c r="E12" s="66"/>
      <x:c r="F12" s="1"/>
      <x:c r="G12" s="16" t="s">
        <x:v>76</x:v>
      </x:c>
      <x:c r="H12" s="16"/>
      <x:c r="I12" s="16"/>
      <x:c r="J12" s="16"/>
      <x:c r="K12" s="16" t="s">
        <x:v>76</x:v>
      </x:c>
      <x:c r="L12" s="26">
        <x:f>H13+'2026.9.8'!M10</x:f>
        <x:v>0</x:v>
      </x:c>
      <x:c r="M12" s="16"/>
      <x:c r="N12" s="26"/>
    </x:row>
    <x:row r="13" spans="1:14" customFormat="1" ht="17.25" customHeight="1">
      <x:c r="A13" s="66"/>
      <x:c r="B13" s="66"/>
      <x:c r="C13" s="66"/>
      <x:c r="D13" s="66"/>
      <x:c r="E13" s="66"/>
      <x:c r="F13" s="1"/>
      <x:c r="G13" s="16" t="s">
        <x:v>33</x:v>
      </x:c>
      <x:c r="H13" s="16"/>
      <x:c r="I13" s="16"/>
      <x:c r="J13" s="16"/>
      <x:c r="K13" s="16" t="s">
        <x:v>33</x:v>
      </x:c>
      <x:c r="L13" s="26">
        <x:f>H14+'2026.9.8'!M11</x:f>
        <x:v>0</x:v>
      </x:c>
      <x:c r="M13" s="16"/>
      <x:c r="N13" s="26"/>
    </x:row>
    <x:row r="14" spans="1:14" customFormat="1" ht="17.25" customHeight="1">
      <x:c r="A14" s="66"/>
      <x:c r="B14" s="66"/>
      <x:c r="C14" s="66"/>
      <x:c r="D14" s="66"/>
      <x:c r="E14" s="66"/>
      <x:c r="F14" s="1"/>
      <x:c r="G14" s="16" t="s">
        <x:v>261</x:v>
      </x:c>
      <x:c r="H14" s="16"/>
      <x:c r="I14" s="16"/>
      <x:c r="J14" s="16"/>
      <x:c r="K14" s="16" t="s">
        <x:v>261</x:v>
      </x:c>
      <x:c r="L14" s="26">
        <x:f>H15+'2026.9.8'!M12</x:f>
        <x:v>0</x:v>
      </x:c>
      <x:c r="M14" s="16"/>
      <x:c r="N14" s="26"/>
    </x:row>
    <x:row r="15" spans="1:14" customFormat="1" ht="17.25" customHeight="1">
      <x:c r="A15" s="66"/>
      <x:c r="B15" s="66"/>
      <x:c r="C15" s="66"/>
      <x:c r="D15" s="66"/>
      <x:c r="E15" s="66"/>
      <x:c r="F15" s="1"/>
      <x:c r="G15" s="16" t="s">
        <x:v>43</x:v>
      </x:c>
      <x:c r="H15" s="16"/>
      <x:c r="I15" s="16"/>
      <x:c r="J15" s="16"/>
      <x:c r="K15" s="16" t="s">
        <x:v>43</x:v>
      </x:c>
      <x:c r="L15" s="26">
        <x:f>H16+'2026.9.8'!M13</x:f>
        <x:v>0</x:v>
      </x:c>
      <x:c r="M15" s="16"/>
      <x:c r="N15" s="26"/>
    </x:row>
    <x:row r="16" spans="1:14" ht="17.25" customHeight="1">
      <x:c r="A16" s="66"/>
      <x:c r="B16" s="66"/>
      <x:c r="C16" s="66"/>
      <x:c r="D16" s="66"/>
      <x:c r="E16" s="66"/>
      <x:c r="G16" s="16" t="s">
        <x:v>21</x:v>
      </x:c>
      <x:c r="H16" s="16"/>
      <x:c r="I16" s="16"/>
      <x:c r="J16" s="16"/>
      <x:c r="K16" s="16" t="s">
        <x:v>21</x:v>
      </x:c>
      <x:c r="L16" s="26">
        <x:f>H17+'2026.9.8'!M14</x:f>
        <x:v>0</x:v>
      </x:c>
      <x:c r="M16" s="16"/>
      <x:c r="N16" s="26"/>
    </x:row>
    <x:row r="17" spans="1:14" customFormat="1" ht="17.25" customHeight="1">
      <x:c r="A17" s="66"/>
      <x:c r="B17" s="66"/>
      <x:c r="C17" s="66"/>
      <x:c r="D17" s="66"/>
      <x:c r="E17" s="66"/>
      <x:c r="F17" s="1"/>
      <x:c r="G17" s="16" t="s">
        <x:v>265</x:v>
      </x:c>
      <x:c r="H17" s="16"/>
      <x:c r="I17" s="16"/>
      <x:c r="J17" s="16"/>
      <x:c r="K17" s="16" t="s">
        <x:v>265</x:v>
      </x:c>
      <x:c r="L17" s="26">
        <x:f>H18+'2026.9.8'!M15</x:f>
        <x:v>0</x:v>
      </x:c>
      <x:c r="M17" s="16"/>
      <x:c r="N17" s="26"/>
    </x:row>
    <x:row r="18" spans="1:14" ht="17.25" customHeight="1">
      <x:c r="A18" s="66"/>
      <x:c r="B18" s="66"/>
      <x:c r="C18" s="66"/>
      <x:c r="D18" s="66"/>
      <x:c r="E18" s="66"/>
      <x:c r="G18" s="16" t="s">
        <x:v>80</x:v>
      </x:c>
      <x:c r="H18" s="16"/>
      <x:c r="I18" s="16"/>
      <x:c r="J18" s="16"/>
      <x:c r="K18" s="16" t="s">
        <x:v>80</x:v>
      </x:c>
      <x:c r="L18" s="26">
        <x:f>H19+'2026.9.8'!M16</x:f>
        <x:v>0</x:v>
      </x:c>
      <x:c r="M18" s="16"/>
      <x:c r="N18" s="26"/>
    </x:row>
    <x:row r="19" spans="1:14" customFormat="1" ht="17.25" customHeight="1">
      <x:c r="A19" s="67"/>
      <x:c r="B19" s="67"/>
      <x:c r="C19" s="67"/>
      <x:c r="D19" s="67"/>
      <x:c r="E19" s="67"/>
      <x:c r="F19" s="1"/>
      <x:c r="G19" s="16" t="s">
        <x:v>101</x:v>
      </x:c>
      <x:c r="H19" s="16"/>
      <x:c r="I19" s="16"/>
      <x:c r="J19" s="16"/>
      <x:c r="K19" s="16" t="s">
        <x:v>101</x:v>
      </x:c>
      <x:c r="L19" s="26">
        <x:f>H20+'2026.9.8'!M17</x:f>
        <x:v>0</x:v>
      </x:c>
      <x:c r="M19" s="16"/>
      <x:c r="N19" s="26"/>
    </x:row>
    <x:row r="20" spans="7:14" ht="17.25" customHeight="1">
      <x:c r="G20" s="16" t="s">
        <x:v>31</x:v>
      </x:c>
      <x:c r="H20" s="16"/>
      <x:c r="I20" s="16"/>
      <x:c r="J20" s="16"/>
      <x:c r="K20" s="16" t="s">
        <x:v>31</x:v>
      </x:c>
      <x:c r="L20" s="26">
        <x:f>H21+'2026.9.8'!M18</x:f>
        <x:v>0</x:v>
      </x:c>
      <x:c r="M20" s="16"/>
      <x:c r="N20" s="26"/>
    </x:row>
    <x:row r="21" spans="7:14" ht="17.25" customHeight="1">
      <x:c r="G21" s="16" t="s">
        <x:v>75</x:v>
      </x:c>
      <x:c r="H21" s="16"/>
      <x:c r="I21" s="16"/>
      <x:c r="J21" s="16"/>
      <x:c r="K21" s="16" t="s">
        <x:v>75</x:v>
      </x:c>
      <x:c r="L21" s="26">
        <x:f>H22+'2026.9.8'!M19</x:f>
        <x:v>0</x:v>
      </x:c>
      <x:c r="M21" s="16"/>
      <x:c r="N21" s="26"/>
    </x:row>
    <x:row r="22" spans="7:14" ht="17.25" customHeight="1">
      <x:c r="G22" s="16" t="s">
        <x:v>70</x:v>
      </x:c>
      <x:c r="H22" s="16"/>
      <x:c r="I22" s="16"/>
      <x:c r="J22" s="16"/>
      <x:c r="K22" s="16" t="s">
        <x:v>70</x:v>
      </x:c>
      <x:c r="L22" s="26">
        <x:f>H23+'2026.9.8'!M20</x:f>
        <x:v>0</x:v>
      </x:c>
      <x:c r="M22" s="16"/>
      <x:c r="N22" s="26"/>
    </x:row>
    <x:row r="23" spans="1:14" customFormat="1" ht="17.25" customHeight="1">
      <x:c r="A23" s="10"/>
      <x:c r="B23" s="1"/>
      <x:c r="C23" s="1"/>
      <x:c r="D23" s="2"/>
      <x:c r="E23" s="1"/>
      <x:c r="F23" s="1"/>
      <x:c r="G23" s="16" t="s">
        <x:v>244</x:v>
      </x:c>
      <x:c r="H23" s="16"/>
      <x:c r="I23" s="16"/>
      <x:c r="J23" s="16"/>
      <x:c r="K23" s="16" t="s">
        <x:v>244</x:v>
      </x:c>
      <x:c r="L23" s="26">
        <x:f>H24+'2026.9.8'!M21</x:f>
        <x:v>0</x:v>
      </x:c>
      <x:c r="M23" s="16"/>
      <x:c r="N23" s="26"/>
    </x:row>
    <x:row r="24" spans="1:14" customFormat="1" ht="17.25" customHeight="1">
      <x:c r="A24" s="10"/>
      <x:c r="B24" s="1"/>
      <x:c r="C24" s="1"/>
      <x:c r="D24" s="2"/>
      <x:c r="E24" s="1"/>
      <x:c r="F24" s="1"/>
      <x:c r="G24" s="16" t="s">
        <x:v>247</x:v>
      </x:c>
      <x:c r="H24" s="16"/>
      <x:c r="I24" s="16"/>
      <x:c r="J24" s="16"/>
      <x:c r="K24" s="16" t="s">
        <x:v>247</x:v>
      </x:c>
      <x:c r="L24" s="26">
        <x:f>H25+'2026.9.8'!M22</x:f>
        <x:v>0</x:v>
      </x:c>
      <x:c r="M24" s="16"/>
      <x:c r="N24" s="26"/>
    </x:row>
    <x:row r="25" spans="1:14" customFormat="1" ht="17.25" customHeight="1">
      <x:c r="A25" s="10"/>
      <x:c r="B25" s="1"/>
      <x:c r="C25" s="1"/>
      <x:c r="D25" s="2"/>
      <x:c r="E25" s="1"/>
      <x:c r="F25" s="1"/>
      <x:c r="G25" s="16" t="s">
        <x:v>22</x:v>
      </x:c>
      <x:c r="H25" s="16"/>
      <x:c r="I25" s="16"/>
      <x:c r="J25" s="16"/>
      <x:c r="K25" s="16" t="s">
        <x:v>22</x:v>
      </x:c>
      <x:c r="L25" s="26">
        <x:f>H26+'2026.9.8'!M23</x:f>
        <x:v>1</x:v>
      </x:c>
      <x:c r="M25" s="16"/>
      <x:c r="N25" s="26"/>
    </x:row>
    <x:row r="26" spans="1:14" customFormat="1" ht="17.25" customHeight="1">
      <x:c r="A26" s="10"/>
      <x:c r="B26" s="1"/>
      <x:c r="C26" s="1"/>
      <x:c r="D26" s="2"/>
      <x:c r="E26" s="1"/>
      <x:c r="F26" s="1"/>
      <x:c r="G26" s="17" t="s">
        <x:v>96</x:v>
      </x:c>
      <x:c r="H26" s="16"/>
      <x:c r="I26" s="16"/>
      <x:c r="J26" s="16"/>
      <x:c r="K26" s="17" t="s">
        <x:v>96</x:v>
      </x:c>
      <x:c r="L26" s="26">
        <x:f>H27+'2026.9.8'!M24</x:f>
        <x:v>0</x:v>
      </x:c>
      <x:c r="M26" s="16"/>
      <x:c r="N26" s="26"/>
    </x:row>
    <x:row r="27" spans="7:10">
      <x:c r="G27"/>
      <x:c r="J27" s="6"/>
    </x:row>
    <x:row r="28" spans="1:14" s="8" customFormat="1" ht="29.25" customHeight="1">
      <x:c r="A28" s="11" t="s">
        <x:v>279</x:v>
      </x:c>
      <x:c r="B28" s="9" t="s">
        <x:v>287</x:v>
      </x:c>
      <x:c r="C28" s="9" t="s">
        <x:v>200</x:v>
      </x:c>
      <x:c r="D28" s="9" t="s">
        <x:v>198</x:v>
      </x:c>
      <x:c r="E28" s="9" t="s">
        <x:v>123</x:v>
      </x:c>
      <x:c r="F28" s="9" t="s">
        <x:v>127</x:v>
      </x:c>
      <x:c r="G28" s="9" t="s">
        <x:v>151</x:v>
      </x:c>
      <x:c r="H28" s="9" t="s">
        <x:v>128</x:v>
      </x:c>
      <x:c r="I28" s="9" t="s">
        <x:v>155</x:v>
      </x:c>
      <x:c r="J28" s="14" t="s">
        <x:v>154</x:v>
      </x:c>
      <x:c r="K28" s="23" t="s">
        <x:v>204</x:v>
      </x:c>
      <x:c r="L28" s="9" t="s">
        <x:v>183</x:v>
      </x:c>
      <x:c r="N28" s="9"/>
    </x:row>
    <x:row r="29" spans="1:14" ht="18" hidden="1" customHeight="1">
      <x:c r="A29" s="15" t="s">
        <x:v>281</x:v>
      </x:c>
      <x:c r="B29" s="14" t="s">
        <x:v>189</x:v>
      </x:c>
      <x:c r="C29" s="6">
        <x:v>2</x:v>
      </x:c>
      <x:c r="D29" s="14" t="s">
        <x:v>268</x:v>
      </x:c>
      <x:c r="E29" s="1" t="s">
        <x:v>32</x:v>
      </x:c>
      <x:c r="F29" s="7">
        <x:f>'2026.9.8'!K27</x:f>
        <x:v>310</x:v>
      </x:c>
      <x:c r="G29" s="6">
        <x:f>SUM(H5:H21)*C29</x:f>
        <x:v>0</x:v>
      </x:c>
      <x:c r="H29" s="6"/>
      <x:c r="I29" s="6"/>
      <x:c r="J29" s="12">
        <x:f>F29+I29-G29-H29</x:f>
        <x:v>310</x:v>
      </x:c>
      <x:c r="K29" s="13">
        <x:f>J29/C29</x:f>
        <x:v>155</x:v>
      </x:c>
      <x:c r="L29" s="25" t="str">
        <x:f>IF(K29&lt;=10,119,"")</x:f>
        <x:v/>
      </x:c>
      <x:c r="N29"/>
    </x:row>
    <x:row r="30" spans="1:14" ht="18" hidden="1" customHeight="1">
      <x:c r="A30" s="15" t="s">
        <x:v>281</x:v>
      </x:c>
      <x:c r="B30" s="14" t="s">
        <x:v>189</x:v>
      </x:c>
      <x:c r="C30" s="6">
        <x:v>2</x:v>
      </x:c>
      <x:c r="D30" s="14" t="s">
        <x:v>70</x:v>
      </x:c>
      <x:c r="E30" s="1" t="s">
        <x:v>65</x:v>
      </x:c>
      <x:c r="F30" s="7">
        <x:f>'2026.9.8'!K28</x:f>
        <x:v>240</x:v>
      </x:c>
      <x:c r="G30" s="6">
        <x:f>H22*C30</x:f>
        <x:v>0</x:v>
      </x:c>
      <x:c r="H30" s="6"/>
      <x:c r="I30" s="6"/>
      <x:c r="J30" s="12">
        <x:f>F30+I30-G30-H30</x:f>
        <x:v>240</x:v>
      </x:c>
      <x:c r="K30" s="13">
        <x:f>J30/C30</x:f>
        <x:v>120</x:v>
      </x:c>
      <x:c r="L30" s="25" t="str">
        <x:f>IF(K30&lt;=10,119,"")</x:f>
        <x:v/>
      </x:c>
      <x:c r="N30"/>
    </x:row>
    <x:row r="31" spans="1:14" customFormat="1" ht="18" hidden="1" customHeight="1">
      <x:c r="A31" s="15" t="s">
        <x:v>281</x:v>
      </x:c>
      <x:c r="B31" s="14" t="s">
        <x:v>189</x:v>
      </x:c>
      <x:c r="C31" s="6">
        <x:v>2</x:v>
      </x:c>
      <x:c r="D31" s="14" t="s">
        <x:v>244</x:v>
      </x:c>
      <x:c r="E31" s="1" t="s">
        <x:v>32</x:v>
      </x:c>
      <x:c r="F31" s="7">
        <x:f>'2026.9.8'!K29</x:f>
        <x:v>17</x:v>
      </x:c>
      <x:c r="G31" s="6">
        <x:f>H23*C31</x:f>
        <x:v>0</x:v>
      </x:c>
      <x:c r="H31" s="6"/>
      <x:c r="I31" s="6"/>
      <x:c r="J31" s="12">
        <x:f>F31+I31-G31-H31</x:f>
        <x:v>17</x:v>
      </x:c>
      <x:c r="K31" s="13">
        <x:f>J31/C31</x:f>
        <x:v>8.5</x:v>
      </x:c>
      <x:c r="L31" s="25">
        <x:f>IF(K31&lt;=10,119,"")</x:f>
        <x:v>119</x:v>
      </x:c>
      <x:c r="N31" s="1"/>
    </x:row>
    <x:row r="32" spans="1:14" customFormat="1" ht="18" hidden="1" customHeight="1">
      <x:c r="A32" s="15" t="s">
        <x:v>281</x:v>
      </x:c>
      <x:c r="B32" s="14" t="s">
        <x:v>189</x:v>
      </x:c>
      <x:c r="C32" s="6">
        <x:v>2</x:v>
      </x:c>
      <x:c r="D32" s="14" t="s">
        <x:v>247</x:v>
      </x:c>
      <x:c r="E32" s="1" t="s">
        <x:v>110</x:v>
      </x:c>
      <x:c r="F32" s="7">
        <x:f>'2026.9.8'!K30</x:f>
        <x:v>17</x:v>
      </x:c>
      <x:c r="G32" s="6">
        <x:f>H24*C32</x:f>
        <x:v>0</x:v>
      </x:c>
      <x:c r="H32" s="6"/>
      <x:c r="I32" s="6"/>
      <x:c r="J32" s="12">
        <x:f>F32+I32-G32-H32</x:f>
        <x:v>17</x:v>
      </x:c>
      <x:c r="K32" s="13">
        <x:f>J32/C32</x:f>
        <x:v>8.5</x:v>
      </x:c>
      <x:c r="L32" s="25">
        <x:f>IF(K32&lt;=10,119,"")</x:f>
        <x:v>119</x:v>
      </x:c>
      <x:c r="N32" s="1"/>
    </x:row>
    <x:row r="33" spans="1:14" customFormat="1" ht="18" hidden="1" customHeight="1">
      <x:c r="A33" s="15" t="s">
        <x:v>281</x:v>
      </x:c>
      <x:c r="B33" s="14" t="s">
        <x:v>189</x:v>
      </x:c>
      <x:c r="C33" s="6">
        <x:v>2</x:v>
      </x:c>
      <x:c r="D33" s="14" t="s">
        <x:v>11</x:v>
      </x:c>
      <x:c r="E33" s="1" t="s">
        <x:v>103</x:v>
      </x:c>
      <x:c r="F33" s="7">
        <x:f>'2026.9.8'!K31</x:f>
        <x:v>4</x:v>
      </x:c>
      <x:c r="G33" s="6">
        <x:f>SUM(H25:H26)*C33</x:f>
        <x:v>0</x:v>
      </x:c>
      <x:c r="H33" s="6"/>
      <x:c r="I33" s="6"/>
      <x:c r="J33" s="12">
        <x:f>F33+I33-G33-H33</x:f>
        <x:v>4</x:v>
      </x:c>
      <x:c r="K33" s="13">
        <x:f>J33/C33</x:f>
        <x:v>2</x:v>
      </x:c>
      <x:c r="L33" s="25">
        <x:f>IF(K33&lt;=10,119,"")</x:f>
        <x:v>119</x:v>
      </x:c>
      <x:c r="N33" s="1"/>
    </x:row>
    <x:row r="34" spans="1:14" customFormat="1" ht="18" hidden="1" customHeight="1">
      <x:c r="A34" s="15" t="s">
        <x:v>281</x:v>
      </x:c>
      <x:c r="B34" s="14" t="s">
        <x:v>143</x:v>
      </x:c>
      <x:c r="C34" s="6">
        <x:v>2</x:v>
      </x:c>
      <x:c r="D34" s="14" t="s">
        <x:v>83</x:v>
      </x:c>
      <x:c r="E34" s="7" t="s">
        <x:v>60</x:v>
      </x:c>
      <x:c r="F34" s="7">
        <x:f>'2026.9.8'!K32</x:f>
        <x:v>76</x:v>
      </x:c>
      <x:c r="G34" s="6">
        <x:f>J7*C34</x:f>
        <x:v>0</x:v>
      </x:c>
      <x:c r="H34" s="6"/>
      <x:c r="I34" s="6"/>
      <x:c r="J34" s="12">
        <x:f>F34+I34-G34-H34</x:f>
        <x:v>76</x:v>
      </x:c>
      <x:c r="K34" s="13">
        <x:f>J34/C34</x:f>
        <x:v>38</x:v>
      </x:c>
      <x:c r="L34" s="25" t="str">
        <x:f>IF(K34&lt;=10,119,"")</x:f>
        <x:v/>
      </x:c>
      <x:c r="N34" s="1"/>
    </x:row>
    <x:row r="35" spans="1:14" customFormat="1" ht="18" hidden="1" customHeight="1">
      <x:c r="A35" s="15" t="s">
        <x:v>281</x:v>
      </x:c>
      <x:c r="B35" s="14" t="s">
        <x:v>143</x:v>
      </x:c>
      <x:c r="C35" s="6">
        <x:v>2</x:v>
      </x:c>
      <x:c r="D35" s="14" t="s">
        <x:v>41</x:v>
      </x:c>
      <x:c r="E35" s="7" t="s">
        <x:v>25</x:v>
      </x:c>
      <x:c r="F35" s="7">
        <x:f>'2026.9.8'!K33</x:f>
        <x:v>2</x:v>
      </x:c>
      <x:c r="G35" s="6">
        <x:f>J8*C35</x:f>
        <x:v>0</x:v>
      </x:c>
      <x:c r="H35" s="6"/>
      <x:c r="I35" s="6"/>
      <x:c r="J35" s="12">
        <x:f>F35+I35-G35-H35</x:f>
        <x:v>2</x:v>
      </x:c>
      <x:c r="K35" s="13">
        <x:f>J35/C35</x:f>
        <x:v>1</x:v>
      </x:c>
      <x:c r="L35" s="25">
        <x:f>IF(K35&lt;=10,119,"")</x:f>
        <x:v>119</x:v>
      </x:c>
      <x:c r="N35" s="1"/>
    </x:row>
    <x:row r="36" spans="1:14" customFormat="1" ht="18" hidden="1" customHeight="1">
      <x:c r="A36" s="15" t="s">
        <x:v>281</x:v>
      </x:c>
      <x:c r="B36" s="14" t="s">
        <x:v>143</x:v>
      </x:c>
      <x:c r="C36" s="6">
        <x:v>2</x:v>
      </x:c>
      <x:c r="D36" s="14" t="s">
        <x:v>47</x:v>
      </x:c>
      <x:c r="E36" s="7" t="s">
        <x:v>39</x:v>
      </x:c>
      <x:c r="F36" s="7">
        <x:f>'2026.9.8'!K34</x:f>
        <x:v>73</x:v>
      </x:c>
      <x:c r="G36" s="6">
        <x:f>J9*C36</x:f>
        <x:v>4</x:v>
      </x:c>
      <x:c r="H36" s="6"/>
      <x:c r="I36" s="6"/>
      <x:c r="J36" s="12">
        <x:f>F36+I36-G36-H36</x:f>
        <x:v>69</x:v>
      </x:c>
      <x:c r="K36" s="13">
        <x:f>J36/C36</x:f>
        <x:v>34.5</x:v>
      </x:c>
      <x:c r="L36" s="25" t="str">
        <x:f>IF(K36&lt;=10,119,"")</x:f>
        <x:v/>
      </x:c>
      <x:c r="N36" s="1"/>
    </x:row>
    <x:row r="37" spans="1:14" customFormat="1" ht="18" hidden="1" customHeight="1">
      <x:c r="A37" s="15" t="s">
        <x:v>281</x:v>
      </x:c>
      <x:c r="B37" s="14" t="s">
        <x:v>143</x:v>
      </x:c>
      <x:c r="C37" s="6">
        <x:v>2</x:v>
      </x:c>
      <x:c r="D37" s="14" t="s">
        <x:v>73</x:v>
      </x:c>
      <x:c r="E37" s="7" t="s">
        <x:v>90</x:v>
      </x:c>
      <x:c r="F37" s="7">
        <x:f>'2026.9.8'!K35</x:f>
        <x:v>74</x:v>
      </x:c>
      <x:c r="G37" s="6">
        <x:f>J10*C37</x:f>
        <x:v>6</x:v>
      </x:c>
      <x:c r="H37" s="6"/>
      <x:c r="I37" s="6"/>
      <x:c r="J37" s="12">
        <x:f>F37+I37-G37-H37</x:f>
        <x:v>68</x:v>
      </x:c>
      <x:c r="K37" s="13">
        <x:f>J37/C37</x:f>
        <x:v>34</x:v>
      </x:c>
      <x:c r="L37" s="25" t="str">
        <x:f>IF(K37&lt;=10,119,"")</x:f>
        <x:v/>
      </x:c>
      <x:c r="N37" s="1"/>
    </x:row>
    <x:row r="38" spans="1:14" customFormat="1" ht="18" hidden="1" customHeight="1">
      <x:c r="A38" s="15" t="s">
        <x:v>242</x:v>
      </x:c>
      <x:c r="B38" s="14" t="s">
        <x:v>189</x:v>
      </x:c>
      <x:c r="C38" s="6">
        <x:v>2</x:v>
      </x:c>
      <x:c r="D38" s="14" t="s">
        <x:v>11</x:v>
      </x:c>
      <x:c r="E38" s="6" t="s">
        <x:v>122</x:v>
      </x:c>
      <x:c r="F38" s="7">
        <x:f>'2026.9.8'!K36</x:f>
        <x:v>6</x:v>
      </x:c>
      <x:c r="G38" s="6">
        <x:f>SUM(H25:H26)*C38</x:f>
        <x:v>0</x:v>
      </x:c>
      <x:c r="H38" s="6"/>
      <x:c r="I38" s="6"/>
      <x:c r="J38" s="12">
        <x:f>F38+I38-G38-H38</x:f>
        <x:v>6</x:v>
      </x:c>
      <x:c r="K38" s="13">
        <x:f>J38/C38</x:f>
        <x:v>3</x:v>
      </x:c>
      <x:c r="L38" s="25">
        <x:f>IF(K38&lt;=10,119,"")</x:f>
        <x:v>119</x:v>
      </x:c>
      <x:c r="N38" s="1"/>
    </x:row>
    <x:row r="39" spans="1:14" ht="18" hidden="1" customHeight="1">
      <x:c r="A39" s="15" t="s">
        <x:v>67</x:v>
      </x:c>
      <x:c r="B39" s="14" t="s">
        <x:v>62</x:v>
      </x:c>
      <x:c r="C39" s="6">
        <x:v>4</x:v>
      </x:c>
      <x:c r="D39" s="14" t="s">
        <x:v>262</x:v>
      </x:c>
      <x:c r="E39" s="1" t="s">
        <x:v>69</x:v>
      </x:c>
      <x:c r="F39" s="7">
        <x:f>'2026.9.8'!K37</x:f>
        <x:v>304</x:v>
      </x:c>
      <x:c r="G39" s="6">
        <x:f>SUM(H5:H16)*C39</x:f>
        <x:v>0</x:v>
      </x:c>
      <x:c r="H39" s="6"/>
      <x:c r="I39" s="6"/>
      <x:c r="J39" s="12">
        <x:f>F39+I39-G39-H39</x:f>
        <x:v>304</x:v>
      </x:c>
      <x:c r="K39" s="13">
        <x:f>J39/C39</x:f>
        <x:v>76</x:v>
      </x:c>
      <x:c r="L39" s="25" t="str">
        <x:f>IF(K39&lt;=10,119,"")</x:f>
        <x:v/>
      </x:c>
      <x:c r="N39"/>
    </x:row>
    <x:row r="40" spans="1:14" ht="18" hidden="1" customHeight="1">
      <x:c r="A40" s="15" t="s">
        <x:v>67</x:v>
      </x:c>
      <x:c r="B40" s="14" t="s">
        <x:v>62</x:v>
      </x:c>
      <x:c r="C40" s="6">
        <x:v>4</x:v>
      </x:c>
      <x:c r="D40" s="14" t="s">
        <x:v>249</x:v>
      </x:c>
      <x:c r="E40" s="1" t="s">
        <x:v>61</x:v>
      </x:c>
      <x:c r="F40" s="7">
        <x:f>'2026.9.8'!K38</x:f>
        <x:v>150</x:v>
      </x:c>
      <x:c r="G40" s="1">
        <x:f>SUM(H18:H21)*C40</x:f>
        <x:v>0</x:v>
      </x:c>
      <x:c r="J40" s="12">
        <x:f>F40+I40-G40-H40</x:f>
        <x:v>150</x:v>
      </x:c>
      <x:c r="K40" s="13">
        <x:f>J40/C40</x:f>
        <x:v>37.5</x:v>
      </x:c>
      <x:c r="L40" s="25" t="str">
        <x:f>IF(K40&lt;=10,119,"")</x:f>
        <x:v/>
      </x:c>
      <x:c r="N40"/>
    </x:row>
    <x:row r="41" spans="1:14" ht="18" hidden="1" customHeight="1">
      <x:c r="A41" s="15" t="s">
        <x:v>67</x:v>
      </x:c>
      <x:c r="B41" s="14" t="s">
        <x:v>62</x:v>
      </x:c>
      <x:c r="C41" s="6">
        <x:v>4</x:v>
      </x:c>
      <x:c r="D41" s="14" t="s">
        <x:v>70</x:v>
      </x:c>
      <x:c r="E41" s="7" t="s">
        <x:v>26</x:v>
      </x:c>
      <x:c r="F41" s="7">
        <x:f>'2026.9.8'!K39</x:f>
        <x:v>262</x:v>
      </x:c>
      <x:c r="G41" s="1">
        <x:f>H22*C41</x:f>
        <x:v>0</x:v>
      </x:c>
      <x:c r="J41" s="12">
        <x:f>F41+I41-G41-H41</x:f>
        <x:v>262</x:v>
      </x:c>
      <x:c r="K41" s="13">
        <x:f>J41/C41</x:f>
        <x:v>65.5</x:v>
      </x:c>
      <x:c r="L41" s="25" t="str">
        <x:f>IF(K41&lt;=10,119,"")</x:f>
        <x:v/>
      </x:c>
      <x:c r="N41"/>
    </x:row>
    <x:row r="42" spans="1:14" customFormat="1" ht="18" hidden="1" customHeight="1">
      <x:c r="A42" s="15" t="s">
        <x:v>67</x:v>
      </x:c>
      <x:c r="B42" s="14" t="s">
        <x:v>62</x:v>
      </x:c>
      <x:c r="C42" s="6">
        <x:v>4</x:v>
      </x:c>
      <x:c r="D42" s="14" t="s">
        <x:v>244</x:v>
      </x:c>
      <x:c r="E42" s="6" t="s">
        <x:v>121</x:v>
      </x:c>
      <x:c r="F42" s="7">
        <x:f>'2026.9.8'!K40</x:f>
        <x:v>6</x:v>
      </x:c>
      <x:c r="G42" s="1">
        <x:f>H23*C42</x:f>
        <x:v>0</x:v>
      </x:c>
      <x:c r="H42" s="1"/>
      <x:c r="I42" s="1"/>
      <x:c r="J42" s="12">
        <x:f>F42+I42-G42-H42</x:f>
        <x:v>6</x:v>
      </x:c>
      <x:c r="K42" s="13">
        <x:f>J42/C42</x:f>
        <x:v>1.5</x:v>
      </x:c>
      <x:c r="L42" s="25">
        <x:f>IF(K42&lt;=10,119,"")</x:f>
        <x:v>119</x:v>
      </x:c>
      <x:c r="N42" s="1"/>
    </x:row>
    <x:row r="43" spans="1:14" customFormat="1" ht="18" hidden="1" customHeight="1">
      <x:c r="A43" s="15" t="s">
        <x:v>67</x:v>
      </x:c>
      <x:c r="B43" s="14" t="s">
        <x:v>62</x:v>
      </x:c>
      <x:c r="C43" s="6">
        <x:v>4</x:v>
      </x:c>
      <x:c r="D43" s="14" t="s">
        <x:v>247</x:v>
      </x:c>
      <x:c r="E43" s="6" t="s">
        <x:v>117</x:v>
      </x:c>
      <x:c r="F43" s="7">
        <x:f>'2026.9.8'!K41</x:f>
        <x:v>6</x:v>
      </x:c>
      <x:c r="G43" s="1">
        <x:f>H24*C43</x:f>
        <x:v>0</x:v>
      </x:c>
      <x:c r="H43" s="1"/>
      <x:c r="I43" s="1"/>
      <x:c r="J43" s="12">
        <x:f>F43+I43-G43-H43</x:f>
        <x:v>6</x:v>
      </x:c>
      <x:c r="K43" s="13">
        <x:f>J43/C43</x:f>
        <x:v>1.5</x:v>
      </x:c>
      <x:c r="L43" s="25">
        <x:f>IF(K43&lt;=10,119,"")</x:f>
        <x:v>119</x:v>
      </x:c>
      <x:c r="N43" s="1"/>
    </x:row>
    <x:row r="44" spans="1:14" customFormat="1" ht="18" hidden="1" customHeight="1">
      <x:c r="A44" s="15" t="s">
        <x:v>67</x:v>
      </x:c>
      <x:c r="B44" s="14" t="s">
        <x:v>62</x:v>
      </x:c>
      <x:c r="C44" s="6">
        <x:v>2</x:v>
      </x:c>
      <x:c r="D44" s="14" t="s">
        <x:v>22</x:v>
      </x:c>
      <x:c r="E44" s="6" t="s">
        <x:v>93</x:v>
      </x:c>
      <x:c r="F44" s="7">
        <x:f>'2026.9.8'!K42</x:f>
        <x:v>0</x:v>
      </x:c>
      <x:c r="G44" s="1">
        <x:f>H25*C44</x:f>
        <x:v>0</x:v>
      </x:c>
      <x:c r="H44" s="1"/>
      <x:c r="I44" s="1"/>
      <x:c r="J44" s="12">
        <x:f>F44+I44-G44-H44</x:f>
        <x:v>0</x:v>
      </x:c>
      <x:c r="K44" s="13">
        <x:f>J44/C44</x:f>
        <x:v>0</x:v>
      </x:c>
      <x:c r="L44" s="25">
        <x:f>IF(K44&lt;=10,119,"")</x:f>
        <x:v>119</x:v>
      </x:c>
      <x:c r="N44" s="1"/>
    </x:row>
    <x:row r="45" spans="1:14" customFormat="1" ht="18" hidden="1" customHeight="1">
      <x:c r="A45" s="15" t="s">
        <x:v>67</x:v>
      </x:c>
      <x:c r="B45" s="14" t="s">
        <x:v>62</x:v>
      </x:c>
      <x:c r="C45" s="6">
        <x:v>2</x:v>
      </x:c>
      <x:c r="D45" s="14" t="s">
        <x:v>96</x:v>
      </x:c>
      <x:c r="E45" s="6" t="s">
        <x:v>102</x:v>
      </x:c>
      <x:c r="F45" s="7">
        <x:f>'2026.9.8'!K43</x:f>
        <x:v>4</x:v>
      </x:c>
      <x:c r="G45" s="1">
        <x:f>H26*C45</x:f>
        <x:v>0</x:v>
      </x:c>
      <x:c r="H45" s="1"/>
      <x:c r="I45" s="1"/>
      <x:c r="J45" s="12">
        <x:f>F45+I45-G45-H45</x:f>
        <x:v>4</x:v>
      </x:c>
      <x:c r="K45" s="13">
        <x:f>J45/C45</x:f>
        <x:v>2</x:v>
      </x:c>
      <x:c r="L45" s="25">
        <x:f>IF(K45&lt;=10,119,"")</x:f>
        <x:v>119</x:v>
      </x:c>
      <x:c r="N45" s="1"/>
    </x:row>
    <x:row r="46" spans="1:14" ht="18" hidden="1" customHeight="1">
      <x:c r="A46" s="15" t="s">
        <x:v>67</x:v>
      </x:c>
      <x:c r="B46" s="14" t="s">
        <x:v>62</x:v>
      </x:c>
      <x:c r="C46" s="1">
        <x:v>4</x:v>
      </x:c>
      <x:c r="D46" s="14" t="s">
        <x:v>83</x:v>
      </x:c>
      <x:c r="E46" s="7" t="s">
        <x:v>61</x:v>
      </x:c>
      <x:c r="F46" s="7">
        <x:f>'2026.9.8'!K44</x:f>
        <x:v>206</x:v>
      </x:c>
      <x:c r="G46" s="1">
        <x:f>J7*C46</x:f>
        <x:v>0</x:v>
      </x:c>
      <x:c r="J46" s="12">
        <x:f>F46+I46-G46-H46</x:f>
        <x:v>206</x:v>
      </x:c>
      <x:c r="K46" s="13">
        <x:f>J46/C46</x:f>
        <x:v>51.5</x:v>
      </x:c>
      <x:c r="L46" s="25" t="str">
        <x:f>IF(K46&lt;=10,119,"")</x:f>
        <x:v/>
      </x:c>
      <x:c r="N46"/>
    </x:row>
    <x:row r="47" spans="1:14" ht="18" hidden="1" customHeight="1">
      <x:c r="A47" s="15" t="s">
        <x:v>67</x:v>
      </x:c>
      <x:c r="B47" s="14" t="s">
        <x:v>62</x:v>
      </x:c>
      <x:c r="C47" s="1">
        <x:v>4</x:v>
      </x:c>
      <x:c r="D47" s="14" t="s">
        <x:v>41</x:v>
      </x:c>
      <x:c r="E47" s="7" t="s">
        <x:v>50</x:v>
      </x:c>
      <x:c r="F47" s="7">
        <x:f>'2026.9.8'!K45</x:f>
        <x:v>0</x:v>
      </x:c>
      <x:c r="G47" s="1">
        <x:f>J8*C47</x:f>
        <x:v>0</x:v>
      </x:c>
      <x:c r="J47" s="12">
        <x:f>F47+I47-G47-H47</x:f>
        <x:v>0</x:v>
      </x:c>
      <x:c r="K47" s="13">
        <x:f>J47/C47</x:f>
        <x:v>0</x:v>
      </x:c>
      <x:c r="L47" s="25">
        <x:f>IF(K47&lt;=10,119,"")</x:f>
        <x:v>119</x:v>
      </x:c>
      <x:c r="N47"/>
    </x:row>
    <x:row r="48" spans="1:12" ht="18" hidden="1" customHeight="1">
      <x:c r="A48" s="15" t="s">
        <x:v>67</x:v>
      </x:c>
      <x:c r="B48" s="14" t="s">
        <x:v>62</x:v>
      </x:c>
      <x:c r="C48" s="1">
        <x:v>4</x:v>
      </x:c>
      <x:c r="D48" s="14" t="s">
        <x:v>19</x:v>
      </x:c>
      <x:c r="E48" s="7" t="s">
        <x:v>74</x:v>
      </x:c>
      <x:c r="F48" s="7">
        <x:f>'2026.9.8'!K46</x:f>
        <x:v>320</x:v>
      </x:c>
      <x:c r="G48" s="1">
        <x:f>SUM(J9:J10)*C48</x:f>
        <x:v>20</x:v>
      </x:c>
      <x:c r="J48" s="12">
        <x:f>F48+I48-G48-H48</x:f>
        <x:v>300</x:v>
      </x:c>
      <x:c r="K48" s="13">
        <x:f>J48/C48</x:f>
        <x:v>75</x:v>
      </x:c>
      <x:c r="L48" s="25" t="str">
        <x:f>IF(K48&lt;=10,119,"")</x:f>
        <x:v/>
      </x:c>
    </x:row>
    <x:row r="49" spans="1:14" customFormat="1" ht="18" hidden="1" customHeight="1">
      <x:c r="A49" s="15" t="s">
        <x:v>243</x:v>
      </x:c>
      <x:c r="B49" s="14" t="s">
        <x:v>62</x:v>
      </x:c>
      <x:c r="C49" s="6">
        <x:v>8</x:v>
      </x:c>
      <x:c r="D49" s="14" t="s">
        <x:v>262</x:v>
      </x:c>
      <x:c r="E49" s="1" t="s">
        <x:v>69</x:v>
      </x:c>
      <x:c r="F49" s="7">
        <x:f>'2026.9.8'!K47</x:f>
        <x:v>612</x:v>
      </x:c>
      <x:c r="G49" s="6">
        <x:f>SUM(H5:H16)*C49</x:f>
        <x:v>0</x:v>
      </x:c>
      <x:c r="H49" s="6"/>
      <x:c r="I49" s="6"/>
      <x:c r="J49" s="12">
        <x:f>F49+I49-G49-H49</x:f>
        <x:v>612</x:v>
      </x:c>
      <x:c r="K49" s="13">
        <x:f>J49/C49</x:f>
        <x:v>76.5</x:v>
      </x:c>
      <x:c r="L49" s="25" t="str">
        <x:f>IF(K49&lt;=10,119,"")</x:f>
        <x:v/>
      </x:c>
      <x:c r="N49" s="1"/>
    </x:row>
    <x:row r="50" spans="1:14" customFormat="1" ht="18" hidden="1" customHeight="1">
      <x:c r="A50" s="15" t="s">
        <x:v>243</x:v>
      </x:c>
      <x:c r="B50" s="14" t="s">
        <x:v>62</x:v>
      </x:c>
      <x:c r="C50" s="6">
        <x:v>8</x:v>
      </x:c>
      <x:c r="D50" s="14" t="s">
        <x:v>249</x:v>
      </x:c>
      <x:c r="E50" s="1" t="s">
        <x:v>61</x:v>
      </x:c>
      <x:c r="F50" s="7">
        <x:f>'2026.9.8'!K48</x:f>
        <x:v>246</x:v>
      </x:c>
      <x:c r="G50" s="1">
        <x:f>SUM(H18:H21)*C50</x:f>
        <x:v>0</x:v>
      </x:c>
      <x:c r="H50" s="1"/>
      <x:c r="I50" s="1"/>
      <x:c r="J50" s="12">
        <x:f>F50+I50-G50-H50</x:f>
        <x:v>246</x:v>
      </x:c>
      <x:c r="K50" s="13">
        <x:f>J50/C50</x:f>
        <x:v>30.75</x:v>
      </x:c>
      <x:c r="L50" s="25" t="str">
        <x:f>IF(K50&lt;=10,119,"")</x:f>
        <x:v/>
      </x:c>
      <x:c r="N50" s="1"/>
    </x:row>
    <x:row r="51" spans="1:14" customFormat="1" ht="18" hidden="1" customHeight="1">
      <x:c r="A51" s="15" t="s">
        <x:v>243</x:v>
      </x:c>
      <x:c r="B51" s="14" t="s">
        <x:v>62</x:v>
      </x:c>
      <x:c r="C51" s="6">
        <x:v>8</x:v>
      </x:c>
      <x:c r="D51" s="14" t="s">
        <x:v>70</x:v>
      </x:c>
      <x:c r="E51" s="7" t="s">
        <x:v>26</x:v>
      </x:c>
      <x:c r="F51" s="7">
        <x:f>'2026.9.8'!K49</x:f>
        <x:v>530</x:v>
      </x:c>
      <x:c r="G51" s="1">
        <x:f>H22*C51</x:f>
        <x:v>0</x:v>
      </x:c>
      <x:c r="H51" s="1"/>
      <x:c r="I51" s="1"/>
      <x:c r="J51" s="12">
        <x:f>F51+I51-G51-H51</x:f>
        <x:v>530</x:v>
      </x:c>
      <x:c r="K51" s="13">
        <x:f>J51/C51</x:f>
        <x:v>66.25</x:v>
      </x:c>
      <x:c r="L51" s="25" t="str">
        <x:f>IF(K51&lt;=10,119,"")</x:f>
        <x:v/>
      </x:c>
      <x:c r="N51" s="1"/>
    </x:row>
    <x:row r="52" spans="1:14" customFormat="1" ht="18" hidden="1" customHeight="1">
      <x:c r="A52" s="15" t="s">
        <x:v>243</x:v>
      </x:c>
      <x:c r="B52" s="14" t="s">
        <x:v>62</x:v>
      </x:c>
      <x:c r="C52" s="6">
        <x:v>5</x:v>
      </x:c>
      <x:c r="D52" s="14" t="s">
        <x:v>244</x:v>
      </x:c>
      <x:c r="E52" s="6" t="s">
        <x:v>78</x:v>
      </x:c>
      <x:c r="F52" s="7">
        <x:f>'2026.9.8'!K50</x:f>
        <x:v>10</x:v>
      </x:c>
      <x:c r="G52" s="1">
        <x:f>SUM(H23)*C52</x:f>
        <x:v>0</x:v>
      </x:c>
      <x:c r="H52" s="1"/>
      <x:c r="I52" s="1"/>
      <x:c r="J52" s="12">
        <x:f>F52+I52-G52-H52</x:f>
        <x:v>10</x:v>
      </x:c>
      <x:c r="K52" s="13">
        <x:f>J52/C52</x:f>
        <x:v>2</x:v>
      </x:c>
      <x:c r="L52" s="25">
        <x:f>IF(K52&lt;=10,119,"")</x:f>
        <x:v>119</x:v>
      </x:c>
      <x:c r="N52" s="1"/>
    </x:row>
    <x:row r="53" spans="1:14" customFormat="1" ht="18" hidden="1" customHeight="1">
      <x:c r="A53" s="15" t="s">
        <x:v>243</x:v>
      </x:c>
      <x:c r="B53" s="14" t="s">
        <x:v>62</x:v>
      </x:c>
      <x:c r="C53" s="6">
        <x:v>5</x:v>
      </x:c>
      <x:c r="D53" s="14" t="s">
        <x:v>247</x:v>
      </x:c>
      <x:c r="E53" s="6" t="s">
        <x:v>72</x:v>
      </x:c>
      <x:c r="F53" s="7">
        <x:f>'2026.9.8'!K51</x:f>
        <x:v>10</x:v>
      </x:c>
      <x:c r="G53" s="1">
        <x:f>SUM(H24)*C53</x:f>
        <x:v>0</x:v>
      </x:c>
      <x:c r="H53" s="1"/>
      <x:c r="I53" s="1"/>
      <x:c r="J53" s="12">
        <x:f>F53+I53-G53-H53</x:f>
        <x:v>10</x:v>
      </x:c>
      <x:c r="K53" s="13">
        <x:f>J53/C53</x:f>
        <x:v>2</x:v>
      </x:c>
      <x:c r="L53" s="25">
        <x:f>IF(K53&lt;=10,119,"")</x:f>
        <x:v>119</x:v>
      </x:c>
      <x:c r="N53" s="1"/>
    </x:row>
    <x:row r="54" spans="1:14" customFormat="1" ht="18" hidden="1" customHeight="1">
      <x:c r="A54" s="15" t="s">
        <x:v>243</x:v>
      </x:c>
      <x:c r="B54" s="14" t="s">
        <x:v>62</x:v>
      </x:c>
      <x:c r="C54" s="6">
        <x:v>8</x:v>
      </x:c>
      <x:c r="D54" s="14" t="s">
        <x:v>22</x:v>
      </x:c>
      <x:c r="E54" s="6" t="s">
        <x:v>93</x:v>
      </x:c>
      <x:c r="F54" s="7">
        <x:f>'2026.9.8'!K52</x:f>
        <x:v>0</x:v>
      </x:c>
      <x:c r="G54" s="1">
        <x:f>SUM(H25)*C54</x:f>
        <x:v>0</x:v>
      </x:c>
      <x:c r="H54" s="1"/>
      <x:c r="I54" s="1"/>
      <x:c r="J54" s="12">
        <x:f>F54+I54-G54-H54</x:f>
        <x:v>0</x:v>
      </x:c>
      <x:c r="K54" s="13">
        <x:f>J54/C54</x:f>
        <x:v>0</x:v>
      </x:c>
      <x:c r="L54" s="25">
        <x:f>IF(K54&lt;=10,119,"")</x:f>
        <x:v>119</x:v>
      </x:c>
      <x:c r="N54" s="1"/>
    </x:row>
    <x:row r="55" spans="1:14" customFormat="1" ht="18" hidden="1" customHeight="1">
      <x:c r="A55" s="15" t="s">
        <x:v>243</x:v>
      </x:c>
      <x:c r="B55" s="14" t="s">
        <x:v>62</x:v>
      </x:c>
      <x:c r="C55" s="6">
        <x:v>8</x:v>
      </x:c>
      <x:c r="D55" s="14" t="s">
        <x:v>96</x:v>
      </x:c>
      <x:c r="E55" s="6" t="s">
        <x:v>102</x:v>
      </x:c>
      <x:c r="F55" s="7">
        <x:f>'2026.9.8'!K53</x:f>
        <x:v>16</x:v>
      </x:c>
      <x:c r="G55" s="1">
        <x:f>SUM(H26)*C55</x:f>
        <x:v>0</x:v>
      </x:c>
      <x:c r="H55" s="1"/>
      <x:c r="I55" s="1"/>
      <x:c r="J55" s="12">
        <x:f>F55+I55-G55-H55</x:f>
        <x:v>16</x:v>
      </x:c>
      <x:c r="K55" s="13">
        <x:f>J55/C55</x:f>
        <x:v>2</x:v>
      </x:c>
      <x:c r="L55" s="25">
        <x:f>IF(K55&lt;=10,119,"")</x:f>
        <x:v>119</x:v>
      </x:c>
      <x:c r="N55" s="1"/>
    </x:row>
    <x:row r="56" spans="1:14" customFormat="1" ht="18" hidden="1" customHeight="1">
      <x:c r="A56" s="15" t="s">
        <x:v>243</x:v>
      </x:c>
      <x:c r="B56" s="14" t="s">
        <x:v>62</x:v>
      </x:c>
      <x:c r="C56" s="1">
        <x:v>5</x:v>
      </x:c>
      <x:c r="D56" s="14" t="s">
        <x:v>83</x:v>
      </x:c>
      <x:c r="E56" s="7" t="s">
        <x:v>82</x:v>
      </x:c>
      <x:c r="F56" s="7">
        <x:f>'2026.9.8'!K54</x:f>
        <x:v>180</x:v>
      </x:c>
      <x:c r="G56" s="1">
        <x:f>J7*C56</x:f>
        <x:v>0</x:v>
      </x:c>
      <x:c r="H56" s="1"/>
      <x:c r="I56" s="1"/>
      <x:c r="J56" s="12">
        <x:f>F56+I56-G56-H56</x:f>
        <x:v>180</x:v>
      </x:c>
      <x:c r="K56" s="13">
        <x:f>J56/C56</x:f>
        <x:v>36</x:v>
      </x:c>
      <x:c r="L56" s="25" t="str">
        <x:f>IF(K56&lt;=10,119,"")</x:f>
        <x:v/>
      </x:c>
      <x:c r="N56" s="1"/>
    </x:row>
    <x:row r="57" spans="1:14" customFormat="1" ht="18" hidden="1" customHeight="1">
      <x:c r="A57" s="15" t="s">
        <x:v>243</x:v>
      </x:c>
      <x:c r="B57" s="14" t="s">
        <x:v>62</x:v>
      </x:c>
      <x:c r="C57" s="1">
        <x:v>5</x:v>
      </x:c>
      <x:c r="D57" s="14" t="s">
        <x:v>41</x:v>
      </x:c>
      <x:c r="E57" s="7" t="s">
        <x:v>48</x:v>
      </x:c>
      <x:c r="F57" s="7">
        <x:f>'2026.9.8'!K55</x:f>
        <x:v>5</x:v>
      </x:c>
      <x:c r="G57" s="1">
        <x:f>J8*C57</x:f>
        <x:v>0</x:v>
      </x:c>
      <x:c r="H57" s="1"/>
      <x:c r="I57" s="1"/>
      <x:c r="J57" s="12">
        <x:f>F57+I57-G57-H57</x:f>
        <x:v>5</x:v>
      </x:c>
      <x:c r="K57" s="13">
        <x:f>J57/C57</x:f>
        <x:v>1</x:v>
      </x:c>
      <x:c r="L57" s="25">
        <x:f>IF(K57&lt;=10,119,"")</x:f>
        <x:v>119</x:v>
      </x:c>
      <x:c r="N57" s="1"/>
    </x:row>
    <x:row r="58" spans="1:14" customFormat="1" ht="18" hidden="1" customHeight="1">
      <x:c r="A58" s="15" t="s">
        <x:v>243</x:v>
      </x:c>
      <x:c r="B58" s="14" t="s">
        <x:v>62</x:v>
      </x:c>
      <x:c r="C58" s="1">
        <x:v>5</x:v>
      </x:c>
      <x:c r="D58" s="14" t="s">
        <x:v>19</x:v>
      </x:c>
      <x:c r="E58" s="7" t="s">
        <x:v>97</x:v>
      </x:c>
      <x:c r="F58" s="7">
        <x:f>'2026.9.8'!K56</x:f>
        <x:v>370</x:v>
      </x:c>
      <x:c r="G58" s="1">
        <x:f>J10*C58</x:f>
        <x:v>15</x:v>
      </x:c>
      <x:c r="H58" s="1"/>
      <x:c r="I58" s="1"/>
      <x:c r="J58" s="12">
        <x:f>F58+I58-G58-H58</x:f>
        <x:v>355</x:v>
      </x:c>
      <x:c r="K58" s="13">
        <x:f>J58/C58</x:f>
        <x:v>71</x:v>
      </x:c>
      <x:c r="L58" s="25" t="str">
        <x:f>IF(K58&lt;=10,119,"")</x:f>
        <x:v/>
      </x:c>
      <x:c r="N58" s="1"/>
    </x:row>
    <x:row r="59" spans="1:14" customFormat="1" ht="18" hidden="1" customHeight="1">
      <x:c r="A59" s="15" t="s">
        <x:v>38</x:v>
      </x:c>
      <x:c r="B59" s="14" t="s">
        <x:v>156</x:v>
      </x:c>
      <x:c r="C59" s="6">
        <x:v>2</x:v>
      </x:c>
      <x:c r="D59" s="14" t="s">
        <x:v>262</x:v>
      </x:c>
      <x:c r="E59" s="1" t="s">
        <x:v>120</x:v>
      </x:c>
      <x:c r="F59" s="7">
        <x:f>'2026.9.8'!K57</x:f>
        <x:v>79</x:v>
      </x:c>
      <x:c r="G59" s="6">
        <x:f>SUM(H5:H16)*C59</x:f>
        <x:v>0</x:v>
      </x:c>
      <x:c r="H59" s="6"/>
      <x:c r="I59" s="6"/>
      <x:c r="J59" s="12">
        <x:f>F59+I59-G59-H59</x:f>
        <x:v>79</x:v>
      </x:c>
      <x:c r="K59" s="13">
        <x:f>J59/C59</x:f>
        <x:v>39.5</x:v>
      </x:c>
      <x:c r="L59" s="25" t="str">
        <x:f>IF(K59&lt;=10,119,"")</x:f>
        <x:v/>
      </x:c>
      <x:c r="N59" s="1"/>
    </x:row>
    <x:row r="60" spans="1:14" customFormat="1" ht="18" hidden="1" customHeight="1">
      <x:c r="A60" s="15" t="s">
        <x:v>38</x:v>
      </x:c>
      <x:c r="B60" s="14" t="s">
        <x:v>156</x:v>
      </x:c>
      <x:c r="C60" s="6">
        <x:v>2</x:v>
      </x:c>
      <x:c r="D60" s="14" t="s">
        <x:v>249</x:v>
      </x:c>
      <x:c r="E60" s="1" t="s">
        <x:v>64</x:v>
      </x:c>
      <x:c r="F60" s="7">
        <x:f>'2026.9.8'!K58</x:f>
        <x:v>116</x:v>
      </x:c>
      <x:c r="G60" s="1">
        <x:f>SUM(H18:H21)*C60</x:f>
        <x:v>0</x:v>
      </x:c>
      <x:c r="H60" s="1"/>
      <x:c r="I60" s="1"/>
      <x:c r="J60" s="12">
        <x:f>F60+I60-G60-H60</x:f>
        <x:v>116</x:v>
      </x:c>
      <x:c r="K60" s="13">
        <x:f>J60/C60</x:f>
        <x:v>58</x:v>
      </x:c>
      <x:c r="L60" s="25" t="str">
        <x:f>IF(K60&lt;=10,119,"")</x:f>
        <x:v/>
      </x:c>
      <x:c r="N60" s="1"/>
    </x:row>
    <x:row r="61" spans="1:14" customFormat="1" ht="18" hidden="1" customHeight="1">
      <x:c r="A61" s="15" t="s">
        <x:v>38</x:v>
      </x:c>
      <x:c r="B61" s="14" t="s">
        <x:v>156</x:v>
      </x:c>
      <x:c r="C61" s="6">
        <x:v>2</x:v>
      </x:c>
      <x:c r="D61" s="14" t="s">
        <x:v>70</x:v>
      </x:c>
      <x:c r="E61" s="7" t="s">
        <x:v>63</x:v>
      </x:c>
      <x:c r="F61" s="7">
        <x:f>'2026.9.8'!K59</x:f>
        <x:v>70</x:v>
      </x:c>
      <x:c r="G61" s="1">
        <x:f>H22*C61</x:f>
        <x:v>0</x:v>
      </x:c>
      <x:c r="H61" s="1"/>
      <x:c r="I61" s="1"/>
      <x:c r="J61" s="12">
        <x:f>F61+I61-G61-H61</x:f>
        <x:v>70</x:v>
      </x:c>
      <x:c r="K61" s="13">
        <x:f>J61/C61</x:f>
        <x:v>35</x:v>
      </x:c>
      <x:c r="L61" s="25" t="str">
        <x:f>IF(K61&lt;=10,119,"")</x:f>
        <x:v/>
      </x:c>
      <x:c r="N61" s="1"/>
    </x:row>
    <x:row r="62" spans="1:14" customFormat="1" ht="18" hidden="1" customHeight="1">
      <x:c r="A62" s="15" t="s">
        <x:v>38</x:v>
      </x:c>
      <x:c r="B62" s="14" t="s">
        <x:v>156</x:v>
      </x:c>
      <x:c r="C62" s="6">
        <x:v>2</x:v>
      </x:c>
      <x:c r="D62" s="14" t="s">
        <x:v>244</x:v>
      </x:c>
      <x:c r="E62" s="6" t="s">
        <x:v>108</x:v>
      </x:c>
      <x:c r="F62" s="7">
        <x:f>'2026.9.8'!K60</x:f>
        <x:v>0</x:v>
      </x:c>
      <x:c r="G62" s="1">
        <x:f>H23*C62</x:f>
        <x:v>0</x:v>
      </x:c>
      <x:c r="H62" s="1"/>
      <x:c r="I62" s="1"/>
      <x:c r="J62" s="12">
        <x:f>F62+I62-G62-H62</x:f>
        <x:v>0</x:v>
      </x:c>
      <x:c r="K62" s="13">
        <x:f>J62/C62</x:f>
        <x:v>0</x:v>
      </x:c>
      <x:c r="L62" s="25">
        <x:f>IF(K62&lt;=10,119,"")</x:f>
        <x:v>119</x:v>
      </x:c>
      <x:c r="N62" s="1"/>
    </x:row>
    <x:row r="63" spans="1:14" customFormat="1" ht="18" hidden="1" customHeight="1">
      <x:c r="A63" s="15" t="s">
        <x:v>38</x:v>
      </x:c>
      <x:c r="B63" s="14" t="s">
        <x:v>156</x:v>
      </x:c>
      <x:c r="C63" s="6">
        <x:v>2</x:v>
      </x:c>
      <x:c r="D63" s="14" t="s">
        <x:v>247</x:v>
      </x:c>
      <x:c r="E63" s="6" t="s">
        <x:v>88</x:v>
      </x:c>
      <x:c r="F63" s="7">
        <x:f>'2026.9.8'!K61</x:f>
        <x:v>0</x:v>
      </x:c>
      <x:c r="G63" s="1">
        <x:f>H24*C63</x:f>
        <x:v>0</x:v>
      </x:c>
      <x:c r="H63" s="1"/>
      <x:c r="I63" s="1"/>
      <x:c r="J63" s="12">
        <x:f>F63+I63-G63-H63</x:f>
        <x:v>0</x:v>
      </x:c>
      <x:c r="K63" s="13">
        <x:f>J63/C63</x:f>
        <x:v>0</x:v>
      </x:c>
      <x:c r="L63" s="25">
        <x:f>IF(K63&lt;=10,119,"")</x:f>
        <x:v>119</x:v>
      </x:c>
      <x:c r="N63" s="1"/>
    </x:row>
    <x:row r="64" spans="1:14" customFormat="1" ht="18" hidden="1" customHeight="1">
      <x:c r="A64" s="15" t="s">
        <x:v>38</x:v>
      </x:c>
      <x:c r="B64" s="14" t="s">
        <x:v>156</x:v>
      </x:c>
      <x:c r="C64" s="6">
        <x:v>2</x:v>
      </x:c>
      <x:c r="D64" s="14" t="s">
        <x:v>22</x:v>
      </x:c>
      <x:c r="E64" s="6" t="s">
        <x:v>99</x:v>
      </x:c>
      <x:c r="F64" s="7">
        <x:f>'2026.9.8'!K62</x:f>
        <x:v>0</x:v>
      </x:c>
      <x:c r="G64" s="1">
        <x:f>H25*C64</x:f>
        <x:v>0</x:v>
      </x:c>
      <x:c r="H64" s="1"/>
      <x:c r="I64" s="1"/>
      <x:c r="J64" s="12">
        <x:f>F64+I64-G64-H64</x:f>
        <x:v>0</x:v>
      </x:c>
      <x:c r="K64" s="13">
        <x:f>J64/C64</x:f>
        <x:v>0</x:v>
      </x:c>
      <x:c r="L64" s="25">
        <x:f>IF(K64&lt;=10,119,"")</x:f>
        <x:v>119</x:v>
      </x:c>
      <x:c r="N64" s="1"/>
    </x:row>
    <x:row r="65" spans="1:14" customFormat="1" ht="18" hidden="1" customHeight="1">
      <x:c r="A65" s="15" t="s">
        <x:v>38</x:v>
      </x:c>
      <x:c r="B65" s="14" t="s">
        <x:v>156</x:v>
      </x:c>
      <x:c r="C65" s="6">
        <x:v>2</x:v>
      </x:c>
      <x:c r="D65" s="14" t="s">
        <x:v>96</x:v>
      </x:c>
      <x:c r="E65" s="6" t="s">
        <x:v>104</x:v>
      </x:c>
      <x:c r="F65" s="7">
        <x:f>'2026.9.8'!K63</x:f>
        <x:v>4</x:v>
      </x:c>
      <x:c r="G65" s="1">
        <x:f>H26*C65</x:f>
        <x:v>0</x:v>
      </x:c>
      <x:c r="H65" s="1"/>
      <x:c r="I65" s="1"/>
      <x:c r="J65" s="12">
        <x:f>F65+I65-G65-H65</x:f>
        <x:v>4</x:v>
      </x:c>
      <x:c r="K65" s="13">
        <x:f>J65/C65</x:f>
        <x:v>2</x:v>
      </x:c>
      <x:c r="L65" s="25">
        <x:f>IF(K65&lt;=10,119,"")</x:f>
        <x:v>119</x:v>
      </x:c>
      <x:c r="N65" s="1"/>
    </x:row>
    <x:row r="66" spans="1:14" customFormat="1" ht="18" hidden="1" customHeight="1">
      <x:c r="A66" s="15" t="s">
        <x:v>38</x:v>
      </x:c>
      <x:c r="B66" s="14" t="s">
        <x:v>156</x:v>
      </x:c>
      <x:c r="C66" s="1">
        <x:v>2</x:v>
      </x:c>
      <x:c r="D66" s="14" t="s">
        <x:v>83</x:v>
      </x:c>
      <x:c r="E66" s="1" t="s">
        <x:v>236</x:v>
      </x:c>
      <x:c r="F66" s="7">
        <x:f>'2026.9.8'!K64</x:f>
        <x:v>68</x:v>
      </x:c>
      <x:c r="G66" s="1">
        <x:f>J7*C66</x:f>
        <x:v>0</x:v>
      </x:c>
      <x:c r="H66" s="1"/>
      <x:c r="I66" s="1"/>
      <x:c r="J66" s="12">
        <x:f>F66+I66-G66-H66</x:f>
        <x:v>68</x:v>
      </x:c>
      <x:c r="K66" s="13">
        <x:f>J66/C66</x:f>
        <x:v>34</x:v>
      </x:c>
      <x:c r="L66" s="25" t="str">
        <x:f>IF(K66&lt;=10,119,"")</x:f>
        <x:v/>
      </x:c>
      <x:c r="N66" s="1"/>
    </x:row>
    <x:row r="67" spans="1:14" customFormat="1" ht="18" hidden="1" customHeight="1">
      <x:c r="A67" s="15" t="s">
        <x:v>38</x:v>
      </x:c>
      <x:c r="B67" s="14" t="s">
        <x:v>156</x:v>
      </x:c>
      <x:c r="C67" s="1">
        <x:v>2</x:v>
      </x:c>
      <x:c r="D67" s="14" t="s">
        <x:v>41</x:v>
      </x:c>
      <x:c r="E67" s="7" t="s">
        <x:v>258</x:v>
      </x:c>
      <x:c r="F67" s="7">
        <x:f>'2026.9.8'!K65</x:f>
        <x:v>0</x:v>
      </x:c>
      <x:c r="G67" s="1">
        <x:f>J8*C67</x:f>
        <x:v>0</x:v>
      </x:c>
      <x:c r="H67" s="1"/>
      <x:c r="I67" s="1"/>
      <x:c r="J67" s="12">
        <x:f>F67+I67-G67-H67</x:f>
        <x:v>0</x:v>
      </x:c>
      <x:c r="K67" s="13">
        <x:f>J67/C67</x:f>
        <x:v>0</x:v>
      </x:c>
      <x:c r="L67" s="25">
        <x:f>IF(K67&lt;=10,119,"")</x:f>
        <x:v>119</x:v>
      </x:c>
      <x:c r="N67" s="1"/>
    </x:row>
    <x:row r="68" spans="1:14" customFormat="1" ht="18" hidden="1" customHeight="1">
      <x:c r="A68" s="15" t="s">
        <x:v>38</x:v>
      </x:c>
      <x:c r="B68" s="14" t="s">
        <x:v>156</x:v>
      </x:c>
      <x:c r="C68" s="1">
        <x:v>2</x:v>
      </x:c>
      <x:c r="D68" s="14" t="s">
        <x:v>47</x:v>
      </x:c>
      <x:c r="E68" s="7" t="s">
        <x:v>232</x:v>
      </x:c>
      <x:c r="F68" s="7">
        <x:f>'2026.9.8'!K66</x:f>
        <x:v>88</x:v>
      </x:c>
      <x:c r="G68" s="1">
        <x:f>J9*C68</x:f>
        <x:v>4</x:v>
      </x:c>
      <x:c r="H68" s="1"/>
      <x:c r="I68" s="1"/>
      <x:c r="J68" s="12">
        <x:f>F68+I68-G68-H68</x:f>
        <x:v>84</x:v>
      </x:c>
      <x:c r="K68" s="13">
        <x:f>J68/C68</x:f>
        <x:v>42</x:v>
      </x:c>
      <x:c r="L68" s="25" t="str">
        <x:f>IF(K68&lt;=10,119,"")</x:f>
        <x:v/>
      </x:c>
      <x:c r="N68" s="1"/>
    </x:row>
    <x:row r="69" spans="1:12" ht="18" hidden="1" customHeight="1">
      <x:c r="A69" s="15" t="s">
        <x:v>38</x:v>
      </x:c>
      <x:c r="B69" s="14" t="s">
        <x:v>156</x:v>
      </x:c>
      <x:c r="C69" s="1">
        <x:v>2</x:v>
      </x:c>
      <x:c r="D69" s="9" t="s">
        <x:v>73</x:v>
      </x:c>
      <x:c r="E69" s="7" t="s">
        <x:v>52</x:v>
      </x:c>
      <x:c r="F69" s="7">
        <x:f>'2026.9.8'!K67</x:f>
        <x:v>77</x:v>
      </x:c>
      <x:c r="G69" s="1">
        <x:f>J10*C69</x:f>
        <x:v>6</x:v>
      </x:c>
      <x:c r="J69" s="12">
        <x:f>F69+I69-G69-H69</x:f>
        <x:v>71</x:v>
      </x:c>
      <x:c r="K69" s="13">
        <x:f>J69/C69</x:f>
        <x:v>35.5</x:v>
      </x:c>
      <x:c r="L69" s="25" t="str">
        <x:f>IF(K69&lt;=10,119,"")</x:f>
        <x:v/>
      </x:c>
    </x:row>
    <x:row r="70" spans="1:14" customFormat="1" ht="18" hidden="1" customHeight="1">
      <x:c r="A70" s="15" t="s">
        <x:v>253</x:v>
      </x:c>
      <x:c r="B70" s="14" t="s">
        <x:v>143</x:v>
      </x:c>
      <x:c r="C70" s="6">
        <x:v>2</x:v>
      </x:c>
      <x:c r="D70" s="14" t="s">
        <x:v>262</x:v>
      </x:c>
      <x:c r="E70" s="1" t="s">
        <x:v>201</x:v>
      </x:c>
      <x:c r="F70" s="7">
        <x:f>'2026.9.8'!K68</x:f>
        <x:v>36</x:v>
      </x:c>
      <x:c r="G70" s="6">
        <x:f>SUM(H5:H16)*C70</x:f>
        <x:v>0</x:v>
      </x:c>
      <x:c r="H70" s="6"/>
      <x:c r="I70" s="6"/>
      <x:c r="J70" s="12">
        <x:f>F70+I70-G70-H70</x:f>
        <x:v>36</x:v>
      </x:c>
      <x:c r="K70" s="13">
        <x:f>J70/C70</x:f>
        <x:v>18</x:v>
      </x:c>
      <x:c r="L70" s="25" t="str">
        <x:f>IF(K70&lt;=10,119,"")</x:f>
        <x:v/>
      </x:c>
      <x:c r="N70" s="1"/>
    </x:row>
    <x:row r="71" spans="1:14" customFormat="1" ht="18" hidden="1" customHeight="1">
      <x:c r="A71" s="15" t="s">
        <x:v>253</x:v>
      </x:c>
      <x:c r="B71" s="14" t="s">
        <x:v>143</x:v>
      </x:c>
      <x:c r="C71" s="6">
        <x:v>2</x:v>
      </x:c>
      <x:c r="D71" s="14" t="s">
        <x:v>249</x:v>
      </x:c>
      <x:c r="E71" s="1" t="s">
        <x:v>150</x:v>
      </x:c>
      <x:c r="F71" s="7">
        <x:f>'2026.9.8'!K69</x:f>
        <x:v>177</x:v>
      </x:c>
      <x:c r="G71" s="1">
        <x:f>SUM(H18:H21)*C71</x:f>
        <x:v>0</x:v>
      </x:c>
      <x:c r="H71" s="1"/>
      <x:c r="I71" s="1"/>
      <x:c r="J71" s="12">
        <x:f>F71+I71-G71-H71</x:f>
        <x:v>177</x:v>
      </x:c>
      <x:c r="K71" s="13">
        <x:f>J71/C71</x:f>
        <x:v>88.5</x:v>
      </x:c>
      <x:c r="L71" s="25" t="str">
        <x:f>IF(K71&lt;=10,119,"")</x:f>
        <x:v/>
      </x:c>
      <x:c r="N71" s="1"/>
    </x:row>
    <x:row r="72" spans="1:14" customFormat="1" ht="18" hidden="1" customHeight="1">
      <x:c r="A72" s="15" t="s">
        <x:v>253</x:v>
      </x:c>
      <x:c r="B72" s="14" t="s">
        <x:v>143</x:v>
      </x:c>
      <x:c r="C72" s="6">
        <x:v>2</x:v>
      </x:c>
      <x:c r="D72" s="14" t="s">
        <x:v>70</x:v>
      </x:c>
      <x:c r="E72" s="7" t="s">
        <x:v>148</x:v>
      </x:c>
      <x:c r="F72" s="7">
        <x:f>'2026.9.8'!K70</x:f>
        <x:v>65</x:v>
      </x:c>
      <x:c r="G72" s="1">
        <x:f>H22*C72</x:f>
        <x:v>0</x:v>
      </x:c>
      <x:c r="H72" s="1"/>
      <x:c r="I72" s="1"/>
      <x:c r="J72" s="12">
        <x:f>F72+I72-G72-H72</x:f>
        <x:v>65</x:v>
      </x:c>
      <x:c r="K72" s="13">
        <x:f>J72/C72</x:f>
        <x:v>32.5</x:v>
      </x:c>
      <x:c r="L72" s="25" t="str">
        <x:f>IF(K72&lt;=10,119,"")</x:f>
        <x:v/>
      </x:c>
      <x:c r="N72" s="1"/>
    </x:row>
    <x:row r="73" spans="1:14" customFormat="1" ht="18" hidden="1" customHeight="1">
      <x:c r="A73" s="15" t="s">
        <x:v>253</x:v>
      </x:c>
      <x:c r="B73" s="14" t="s">
        <x:v>143</x:v>
      </x:c>
      <x:c r="C73" s="6">
        <x:v>1</x:v>
      </x:c>
      <x:c r="D73" s="14" t="s">
        <x:v>244</x:v>
      </x:c>
      <x:c r="E73" s="6" t="s">
        <x:v>185</x:v>
      </x:c>
      <x:c r="F73" s="7">
        <x:f>'2026.9.8'!K71</x:f>
        <x:v>0</x:v>
      </x:c>
      <x:c r="G73" s="1">
        <x:f>H23*C73</x:f>
        <x:v>0</x:v>
      </x:c>
      <x:c r="H73" s="1"/>
      <x:c r="I73" s="1"/>
      <x:c r="J73" s="12">
        <x:f>F73+I73-G73-H73</x:f>
        <x:v>0</x:v>
      </x:c>
      <x:c r="K73" s="13">
        <x:f>J73/C73</x:f>
        <x:v>0</x:v>
      </x:c>
      <x:c r="L73" s="25">
        <x:f>IF(K73&lt;=10,119,"")</x:f>
        <x:v>119</x:v>
      </x:c>
      <x:c r="N73" s="1"/>
    </x:row>
    <x:row r="74" spans="1:14" customFormat="1" ht="18" hidden="1" customHeight="1">
      <x:c r="A74" s="15" t="s">
        <x:v>253</x:v>
      </x:c>
      <x:c r="B74" s="14" t="s">
        <x:v>143</x:v>
      </x:c>
      <x:c r="C74" s="6">
        <x:v>1</x:v>
      </x:c>
      <x:c r="D74" s="14" t="s">
        <x:v>247</x:v>
      </x:c>
      <x:c r="E74" s="6" t="s">
        <x:v>196</x:v>
      </x:c>
      <x:c r="F74" s="7">
        <x:f>'2026.9.8'!K72</x:f>
        <x:v>0</x:v>
      </x:c>
      <x:c r="G74" s="1">
        <x:f>H24*C74</x:f>
        <x:v>0</x:v>
      </x:c>
      <x:c r="H74" s="1"/>
      <x:c r="I74" s="1"/>
      <x:c r="J74" s="12">
        <x:f>F74+I74-G74-H74</x:f>
        <x:v>0</x:v>
      </x:c>
      <x:c r="K74" s="13">
        <x:f>J74/C74</x:f>
        <x:v>0</x:v>
      </x:c>
      <x:c r="L74" s="25">
        <x:f>IF(K74&lt;=10,119,"")</x:f>
        <x:v>119</x:v>
      </x:c>
      <x:c r="N74" s="1"/>
    </x:row>
    <x:row r="75" spans="1:14" customFormat="1" ht="18" hidden="1" customHeight="1">
      <x:c r="A75" s="15" t="s">
        <x:v>253</x:v>
      </x:c>
      <x:c r="B75" s="14" t="s">
        <x:v>143</x:v>
      </x:c>
      <x:c r="C75" s="6">
        <x:v>2</x:v>
      </x:c>
      <x:c r="D75" s="14" t="s">
        <x:v>22</x:v>
      </x:c>
      <x:c r="E75" s="6" t="s">
        <x:v>215</x:v>
      </x:c>
      <x:c r="F75" s="7">
        <x:f>'2026.9.8'!K73</x:f>
        <x:v>0</x:v>
      </x:c>
      <x:c r="G75" s="1">
        <x:f>H25*C75</x:f>
        <x:v>0</x:v>
      </x:c>
      <x:c r="H75" s="1"/>
      <x:c r="I75" s="1"/>
      <x:c r="J75" s="12">
        <x:f>F75+I75-G75-H75</x:f>
        <x:v>0</x:v>
      </x:c>
      <x:c r="K75" s="13">
        <x:f>J75/C75</x:f>
        <x:v>0</x:v>
      </x:c>
      <x:c r="L75" s="25">
        <x:f>IF(K75&lt;=10,119,"")</x:f>
        <x:v>119</x:v>
      </x:c>
      <x:c r="N75" s="1"/>
    </x:row>
    <x:row r="76" spans="1:14" customFormat="1" ht="18" hidden="1" customHeight="1">
      <x:c r="A76" s="15" t="s">
        <x:v>253</x:v>
      </x:c>
      <x:c r="B76" s="14" t="s">
        <x:v>143</x:v>
      </x:c>
      <x:c r="C76" s="6">
        <x:v>2</x:v>
      </x:c>
      <x:c r="D76" s="14" t="s">
        <x:v>96</x:v>
      </x:c>
      <x:c r="E76" s="6" t="s">
        <x:v>206</x:v>
      </x:c>
      <x:c r="F76" s="7">
        <x:f>'2026.9.8'!K74</x:f>
        <x:v>4</x:v>
      </x:c>
      <x:c r="G76" s="1">
        <x:f>H26*C76</x:f>
        <x:v>0</x:v>
      </x:c>
      <x:c r="H76" s="1"/>
      <x:c r="I76" s="1"/>
      <x:c r="J76" s="12">
        <x:f>F76+I76-G76-H76</x:f>
        <x:v>4</x:v>
      </x:c>
      <x:c r="K76" s="13">
        <x:f>J76/C76</x:f>
        <x:v>2</x:v>
      </x:c>
      <x:c r="L76" s="25">
        <x:f>IF(K76&lt;=10,119,"")</x:f>
        <x:v>119</x:v>
      </x:c>
      <x:c r="N76" s="1"/>
    </x:row>
    <x:row r="77" spans="1:14" customFormat="1" ht="18" hidden="1" customHeight="1">
      <x:c r="A77" s="15" t="s">
        <x:v>253</x:v>
      </x:c>
      <x:c r="B77" s="14" t="s">
        <x:v>137</x:v>
      </x:c>
      <x:c r="C77" s="1">
        <x:v>1</x:v>
      </x:c>
      <x:c r="D77" s="14" t="s">
        <x:v>83</x:v>
      </x:c>
      <x:c r="E77" s="1" t="s">
        <x:v>126</x:v>
      </x:c>
      <x:c r="F77" s="7">
        <x:f>'2026.9.8'!K75</x:f>
        <x:v>0</x:v>
      </x:c>
      <x:c r="G77" s="1">
        <x:f>J7*C77</x:f>
        <x:v>0</x:v>
      </x:c>
      <x:c r="H77" s="1"/>
      <x:c r="I77" s="1"/>
      <x:c r="J77" s="12">
        <x:f>F77+I77-G77-H77</x:f>
        <x:v>0</x:v>
      </x:c>
      <x:c r="K77" s="13">
        <x:f>J77/C77</x:f>
        <x:v>0</x:v>
      </x:c>
      <x:c r="L77" s="25">
        <x:f>IF(K77&lt;=10,119,"")</x:f>
        <x:v>119</x:v>
      </x:c>
      <x:c r="N77" s="1"/>
    </x:row>
    <x:row r="78" spans="1:14" customFormat="1" ht="18" hidden="1" customHeight="1">
      <x:c r="A78" s="15" t="s">
        <x:v>253</x:v>
      </x:c>
      <x:c r="B78" s="14" t="s">
        <x:v>137</x:v>
      </x:c>
      <x:c r="C78" s="1">
        <x:v>1</x:v>
      </x:c>
      <x:c r="D78" s="14" t="s">
        <x:v>41</x:v>
      </x:c>
      <x:c r="E78" s="7" t="s">
        <x:v>131</x:v>
      </x:c>
      <x:c r="F78" s="7">
        <x:f>'2026.9.8'!K76</x:f>
        <x:v>3</x:v>
      </x:c>
      <x:c r="G78" s="1">
        <x:f>J8*C78</x:f>
        <x:v>0</x:v>
      </x:c>
      <x:c r="H78" s="1"/>
      <x:c r="I78" s="1"/>
      <x:c r="J78" s="12">
        <x:f>F78+I78-G78-H78</x:f>
        <x:v>3</x:v>
      </x:c>
      <x:c r="K78" s="13">
        <x:f>J78/C78</x:f>
        <x:v>3</x:v>
      </x:c>
      <x:c r="L78" s="25">
        <x:f>IF(K78&lt;=10,119,"")</x:f>
        <x:v>119</x:v>
      </x:c>
      <x:c r="N78" s="1"/>
    </x:row>
    <x:row r="79" spans="1:14" customFormat="1" ht="18" hidden="1" customHeight="1">
      <x:c r="A79" s="15" t="s">
        <x:v>253</x:v>
      </x:c>
      <x:c r="B79" s="14" t="s">
        <x:v>137</x:v>
      </x:c>
      <x:c r="C79" s="1">
        <x:v>1</x:v>
      </x:c>
      <x:c r="D79" s="14" t="s">
        <x:v>47</x:v>
      </x:c>
      <x:c r="E79" s="7" t="s">
        <x:v>133</x:v>
      </x:c>
      <x:c r="F79" s="7">
        <x:f>'2026.9.8'!K77</x:f>
        <x:v>8</x:v>
      </x:c>
      <x:c r="G79" s="1">
        <x:f>J9*C79</x:f>
        <x:v>2</x:v>
      </x:c>
      <x:c r="H79" s="1"/>
      <x:c r="I79" s="1"/>
      <x:c r="J79" s="12">
        <x:f>F79+I79-G79-H79</x:f>
        <x:v>6</x:v>
      </x:c>
      <x:c r="K79" s="13">
        <x:f>J79/C79</x:f>
        <x:v>6</x:v>
      </x:c>
      <x:c r="L79" s="25">
        <x:f>IF(K79&lt;=10,119,"")</x:f>
        <x:v>119</x:v>
      </x:c>
      <x:c r="N79" s="1"/>
    </x:row>
    <x:row r="80" spans="1:14" customFormat="1" ht="18" hidden="1" customHeight="1">
      <x:c r="A80" s="15" t="s">
        <x:v>253</x:v>
      </x:c>
      <x:c r="B80" s="14" t="s">
        <x:v>137</x:v>
      </x:c>
      <x:c r="C80" s="1">
        <x:v>1</x:v>
      </x:c>
      <x:c r="D80" s="9" t="s">
        <x:v>73</x:v>
      </x:c>
      <x:c r="E80" s="7" t="s">
        <x:v>133</x:v>
      </x:c>
      <x:c r="F80" s="7">
        <x:f>'2026.9.8'!K78</x:f>
        <x:v>5</x:v>
      </x:c>
      <x:c r="G80" s="1">
        <x:f>J10*C80</x:f>
        <x:v>3</x:v>
      </x:c>
      <x:c r="H80" s="1"/>
      <x:c r="I80" s="1"/>
      <x:c r="J80" s="12">
        <x:f>F80+I80-G80-H80</x:f>
        <x:v>2</x:v>
      </x:c>
      <x:c r="K80" s="13">
        <x:f>J80/C80</x:f>
        <x:v>2</x:v>
      </x:c>
      <x:c r="L80" s="25">
        <x:f>IF(K80&lt;=10,119,"")</x:f>
        <x:v>119</x:v>
      </x:c>
      <x:c r="N80" s="1"/>
    </x:row>
    <x:row r="81" spans="1:14" customFormat="1" ht="18" hidden="1" customHeight="1">
      <x:c r="A81" s="15" t="s">
        <x:v>274</x:v>
      </x:c>
      <x:c r="B81" s="14" t="s">
        <x:v>143</x:v>
      </x:c>
      <x:c r="C81" s="6">
        <x:v>2</x:v>
      </x:c>
      <x:c r="D81" s="14" t="s">
        <x:v>262</x:v>
      </x:c>
      <x:c r="E81" s="1" t="s">
        <x:v>85</x:v>
      </x:c>
      <x:c r="F81" s="7">
        <x:f>'2026.9.8'!K79</x:f>
        <x:v>116</x:v>
      </x:c>
      <x:c r="G81" s="6">
        <x:f>SUM(H5:H16)*C81</x:f>
        <x:v>0</x:v>
      </x:c>
      <x:c r="H81" s="6"/>
      <x:c r="I81" s="6"/>
      <x:c r="J81" s="12">
        <x:f>F81+I81-G81-H81</x:f>
        <x:v>116</x:v>
      </x:c>
      <x:c r="K81" s="13">
        <x:f>J81/C81</x:f>
        <x:v>58</x:v>
      </x:c>
      <x:c r="L81" s="25" t="str">
        <x:f>IF(K81&lt;=10,119,"")</x:f>
        <x:v/>
      </x:c>
      <x:c r="N81" s="1"/>
    </x:row>
    <x:row r="82" spans="1:14" customFormat="1" ht="18" hidden="1" customHeight="1">
      <x:c r="A82" s="15" t="s">
        <x:v>274</x:v>
      </x:c>
      <x:c r="B82" s="14" t="s">
        <x:v>143</x:v>
      </x:c>
      <x:c r="C82" s="6">
        <x:v>2</x:v>
      </x:c>
      <x:c r="D82" s="14" t="s">
        <x:v>249</x:v>
      </x:c>
      <x:c r="E82" s="1" t="s">
        <x:v>45</x:v>
      </x:c>
      <x:c r="F82" s="7">
        <x:f>'2026.9.8'!K80</x:f>
        <x:v>62</x:v>
      </x:c>
      <x:c r="G82" s="1">
        <x:f>SUM(H18:H21)*C82</x:f>
        <x:v>0</x:v>
      </x:c>
      <x:c r="H82" s="1"/>
      <x:c r="I82" s="1"/>
      <x:c r="J82" s="12">
        <x:f>F82+I82-G82-H82</x:f>
        <x:v>62</x:v>
      </x:c>
      <x:c r="K82" s="13">
        <x:f>J82/C82</x:f>
        <x:v>31</x:v>
      </x:c>
      <x:c r="L82" s="25" t="str">
        <x:f>IF(K82&lt;=10,119,"")</x:f>
        <x:v/>
      </x:c>
      <x:c r="N82" s="1"/>
    </x:row>
    <x:row r="83" spans="1:14" customFormat="1" ht="18" hidden="1" customHeight="1">
      <x:c r="A83" s="15" t="s">
        <x:v>274</x:v>
      </x:c>
      <x:c r="B83" s="14" t="s">
        <x:v>143</x:v>
      </x:c>
      <x:c r="C83" s="6">
        <x:v>2</x:v>
      </x:c>
      <x:c r="D83" s="14" t="s">
        <x:v>70</x:v>
      </x:c>
      <x:c r="E83" s="7" t="s">
        <x:v>66</x:v>
      </x:c>
      <x:c r="F83" s="7">
        <x:f>'2026.9.8'!K81</x:f>
        <x:v>93</x:v>
      </x:c>
      <x:c r="G83" s="1">
        <x:f>H22*C83</x:f>
        <x:v>0</x:v>
      </x:c>
      <x:c r="H83" s="1"/>
      <x:c r="I83" s="1"/>
      <x:c r="J83" s="12">
        <x:f>F83+I83-G83-H83</x:f>
        <x:v>93</x:v>
      </x:c>
      <x:c r="K83" s="13">
        <x:f>J83/C83</x:f>
        <x:v>46.5</x:v>
      </x:c>
      <x:c r="L83" s="25" t="str">
        <x:f>IF(K83&lt;=10,119,"")</x:f>
        <x:v/>
      </x:c>
      <x:c r="N83" s="1"/>
    </x:row>
    <x:row r="84" spans="1:14" customFormat="1" ht="18" hidden="1" customHeight="1">
      <x:c r="A84" s="15" t="s">
        <x:v>274</x:v>
      </x:c>
      <x:c r="B84" s="14" t="s">
        <x:v>143</x:v>
      </x:c>
      <x:c r="C84" s="6">
        <x:v>1</x:v>
      </x:c>
      <x:c r="D84" s="14" t="s">
        <x:v>244</x:v>
      </x:c>
      <x:c r="E84" s="6" t="s">
        <x:v>95</x:v>
      </x:c>
      <x:c r="F84" s="7">
        <x:f>'2026.9.8'!K82</x:f>
        <x:v>0</x:v>
      </x:c>
      <x:c r="G84" s="1">
        <x:f>H23*C84</x:f>
        <x:v>0</x:v>
      </x:c>
      <x:c r="H84" s="1"/>
      <x:c r="I84" s="1"/>
      <x:c r="J84" s="12">
        <x:f>F84+I84-G84-H84</x:f>
        <x:v>0</x:v>
      </x:c>
      <x:c r="K84" s="13">
        <x:f>J84/C84</x:f>
        <x:v>0</x:v>
      </x:c>
      <x:c r="L84" s="25">
        <x:f>IF(K84&lt;=10,119,"")</x:f>
        <x:v>119</x:v>
      </x:c>
      <x:c r="N84" s="1"/>
    </x:row>
    <x:row r="85" spans="1:14" customFormat="1" ht="18" hidden="1" customHeight="1">
      <x:c r="A85" s="15" t="s">
        <x:v>274</x:v>
      </x:c>
      <x:c r="B85" s="14" t="s">
        <x:v>143</x:v>
      </x:c>
      <x:c r="C85" s="6">
        <x:v>1</x:v>
      </x:c>
      <x:c r="D85" s="14" t="s">
        <x:v>247</x:v>
      </x:c>
      <x:c r="E85" s="6" t="s">
        <x:v>98</x:v>
      </x:c>
      <x:c r="F85" s="7">
        <x:f>'2026.9.8'!K83</x:f>
        <x:v>0</x:v>
      </x:c>
      <x:c r="G85" s="1">
        <x:f>H24*C85</x:f>
        <x:v>0</x:v>
      </x:c>
      <x:c r="H85" s="1"/>
      <x:c r="I85" s="1"/>
      <x:c r="J85" s="12">
        <x:f>F85+I85-G85-H85</x:f>
        <x:v>0</x:v>
      </x:c>
      <x:c r="K85" s="13">
        <x:f>J85/C85</x:f>
        <x:v>0</x:v>
      </x:c>
      <x:c r="L85" s="25">
        <x:f>IF(K85&lt;=10,119,"")</x:f>
        <x:v>119</x:v>
      </x:c>
      <x:c r="N85" s="1"/>
    </x:row>
    <x:row r="86" spans="1:14" customFormat="1" ht="18" hidden="1" customHeight="1">
      <x:c r="A86" s="15" t="s">
        <x:v>274</x:v>
      </x:c>
      <x:c r="B86" s="14" t="s">
        <x:v>143</x:v>
      </x:c>
      <x:c r="C86" s="6">
        <x:v>2</x:v>
      </x:c>
      <x:c r="D86" s="14" t="s">
        <x:v>22</x:v>
      </x:c>
      <x:c r="E86" s="6" t="s">
        <x:v>106</x:v>
      </x:c>
      <x:c r="F86" s="7">
        <x:f>'2026.9.8'!K84</x:f>
        <x:v>0</x:v>
      </x:c>
      <x:c r="G86" s="1">
        <x:f>H25*C86</x:f>
        <x:v>0</x:v>
      </x:c>
      <x:c r="H86" s="1"/>
      <x:c r="I86" s="1"/>
      <x:c r="J86" s="12">
        <x:f>F86+I86-G86-H86</x:f>
        <x:v>0</x:v>
      </x:c>
      <x:c r="K86" s="13">
        <x:f>J86/C86</x:f>
        <x:v>0</x:v>
      </x:c>
      <x:c r="L86" s="25">
        <x:f>IF(K86&lt;=10,119,"")</x:f>
        <x:v>119</x:v>
      </x:c>
      <x:c r="N86" s="1"/>
    </x:row>
    <x:row r="87" spans="1:14" customFormat="1" ht="18" hidden="1" customHeight="1">
      <x:c r="A87" s="15" t="s">
        <x:v>274</x:v>
      </x:c>
      <x:c r="B87" s="14" t="s">
        <x:v>143</x:v>
      </x:c>
      <x:c r="C87" s="6">
        <x:v>2</x:v>
      </x:c>
      <x:c r="D87" s="14" t="s">
        <x:v>96</x:v>
      </x:c>
      <x:c r="E87" s="6" t="s">
        <x:v>87</x:v>
      </x:c>
      <x:c r="F87" s="7">
        <x:f>'2026.9.8'!K85</x:f>
        <x:v>4</x:v>
      </x:c>
      <x:c r="G87" s="1">
        <x:f>H26*C87</x:f>
        <x:v>0</x:v>
      </x:c>
      <x:c r="H87" s="1"/>
      <x:c r="I87" s="1"/>
      <x:c r="J87" s="12">
        <x:f>F87+I87-G87-H87</x:f>
        <x:v>4</x:v>
      </x:c>
      <x:c r="K87" s="13">
        <x:f>J87/C87</x:f>
        <x:v>2</x:v>
      </x:c>
      <x:c r="L87" s="25">
        <x:f>IF(K87&lt;=10,119,"")</x:f>
        <x:v>119</x:v>
      </x:c>
      <x:c r="N87" s="1"/>
    </x:row>
    <x:row r="88" spans="1:14" customFormat="1" ht="18" hidden="1" customHeight="1">
      <x:c r="A88" s="15" t="s">
        <x:v>274</x:v>
      </x:c>
      <x:c r="B88" s="14" t="s">
        <x:v>137</x:v>
      </x:c>
      <x:c r="C88" s="1">
        <x:v>1</x:v>
      </x:c>
      <x:c r="D88" s="14" t="s">
        <x:v>83</x:v>
      </x:c>
      <x:c r="E88" s="1"/>
      <x:c r="F88" s="7">
        <x:f>'2026.9.8'!K86</x:f>
        <x:v>1</x:v>
      </x:c>
      <x:c r="G88" s="1">
        <x:f>J7*C88</x:f>
        <x:v>0</x:v>
      </x:c>
      <x:c r="H88" s="1"/>
      <x:c r="I88" s="1"/>
      <x:c r="J88" s="12">
        <x:f>F88+I88-G88-H88</x:f>
        <x:v>1</x:v>
      </x:c>
      <x:c r="K88" s="13">
        <x:f>J88/C88</x:f>
        <x:v>1</x:v>
      </x:c>
      <x:c r="L88" s="25">
        <x:f>IF(K88&lt;=10,119,"")</x:f>
        <x:v>119</x:v>
      </x:c>
      <x:c r="N88" s="1"/>
    </x:row>
    <x:row r="89" spans="1:14" customFormat="1" ht="18" hidden="1" customHeight="1">
      <x:c r="A89" s="15" t="s">
        <x:v>274</x:v>
      </x:c>
      <x:c r="B89" s="14" t="s">
        <x:v>137</x:v>
      </x:c>
      <x:c r="C89" s="1">
        <x:v>1</x:v>
      </x:c>
      <x:c r="D89" s="14" t="s">
        <x:v>41</x:v>
      </x:c>
      <x:c r="E89" s="7"/>
      <x:c r="F89" s="7">
        <x:f>'2026.9.8'!K87</x:f>
        <x:v>0</x:v>
      </x:c>
      <x:c r="G89" s="1">
        <x:f>J8*C89</x:f>
        <x:v>0</x:v>
      </x:c>
      <x:c r="H89" s="1"/>
      <x:c r="I89" s="1"/>
      <x:c r="J89" s="12">
        <x:f>F89+I89-G89-H89</x:f>
        <x:v>0</x:v>
      </x:c>
      <x:c r="K89" s="13">
        <x:f>J89/C89</x:f>
        <x:v>0</x:v>
      </x:c>
      <x:c r="L89" s="25">
        <x:f>IF(K89&lt;=10,119,"")</x:f>
        <x:v>119</x:v>
      </x:c>
      <x:c r="N89" s="1"/>
    </x:row>
    <x:row r="90" spans="1:14" customFormat="1" ht="18" hidden="1" customHeight="1">
      <x:c r="A90" s="15" t="s">
        <x:v>274</x:v>
      </x:c>
      <x:c r="B90" s="14" t="s">
        <x:v>137</x:v>
      </x:c>
      <x:c r="C90" s="1">
        <x:v>1</x:v>
      </x:c>
      <x:c r="D90" s="14" t="s">
        <x:v>47</x:v>
      </x:c>
      <x:c r="E90" s="7"/>
      <x:c r="F90" s="7">
        <x:f>'2026.9.8'!K88</x:f>
        <x:v>9</x:v>
      </x:c>
      <x:c r="G90" s="1">
        <x:f>J9*C90</x:f>
        <x:v>2</x:v>
      </x:c>
      <x:c r="H90" s="1"/>
      <x:c r="I90" s="1"/>
      <x:c r="J90" s="12">
        <x:f>F90+I90-G90-H90</x:f>
        <x:v>7</x:v>
      </x:c>
      <x:c r="K90" s="13">
        <x:f>J90/C90</x:f>
        <x:v>7</x:v>
      </x:c>
      <x:c r="L90" s="25">
        <x:f>IF(K90&lt;=10,119,"")</x:f>
        <x:v>119</x:v>
      </x:c>
      <x:c r="N90" s="1"/>
    </x:row>
    <x:row r="91" spans="1:14" customFormat="1" ht="18" hidden="1" customHeight="1">
      <x:c r="A91" s="15" t="s">
        <x:v>274</x:v>
      </x:c>
      <x:c r="B91" s="14" t="s">
        <x:v>137</x:v>
      </x:c>
      <x:c r="C91" s="1">
        <x:v>1</x:v>
      </x:c>
      <x:c r="D91" s="9" t="s">
        <x:v>73</x:v>
      </x:c>
      <x:c r="E91" s="7" t="s">
        <x:v>92</x:v>
      </x:c>
      <x:c r="F91" s="7">
        <x:f>'2026.9.8'!K89</x:f>
        <x:v>5</x:v>
      </x:c>
      <x:c r="G91" s="1">
        <x:f>J10*C91</x:f>
        <x:v>3</x:v>
      </x:c>
      <x:c r="H91" s="1"/>
      <x:c r="I91" s="1"/>
      <x:c r="J91" s="12">
        <x:f>F91+I91-G91-H91</x:f>
        <x:v>2</x:v>
      </x:c>
      <x:c r="K91" s="13">
        <x:f>J91/C91</x:f>
        <x:v>2</x:v>
      </x:c>
      <x:c r="L91" s="25">
        <x:f>IF(K91&lt;=10,119,"")</x:f>
        <x:v>119</x:v>
      </x:c>
      <x:c r="N91" s="1"/>
    </x:row>
    <x:row r="92" spans="1:14" customFormat="1" ht="18" hidden="1" customHeight="1">
      <x:c r="A92" s="15" t="s">
        <x:v>53</x:v>
      </x:c>
      <x:c r="B92" s="14" t="s">
        <x:v>143</x:v>
      </x:c>
      <x:c r="C92" s="6">
        <x:v>8</x:v>
      </x:c>
      <x:c r="D92" s="14" t="s">
        <x:v>262</x:v>
      </x:c>
      <x:c r="E92" s="1" t="s">
        <x:v>175</x:v>
      </x:c>
      <x:c r="F92" s="7">
        <x:f>'2026.9.8'!K90</x:f>
        <x:v>318</x:v>
      </x:c>
      <x:c r="G92" s="6">
        <x:f>SUM(H5:H16)*C92</x:f>
        <x:v>0</x:v>
      </x:c>
      <x:c r="H92" s="6"/>
      <x:c r="I92" s="6"/>
      <x:c r="J92" s="12">
        <x:f>F92+I92-G92-H92</x:f>
        <x:v>318</x:v>
      </x:c>
      <x:c r="K92" s="13">
        <x:f>J92/C92</x:f>
        <x:v>39.75</x:v>
      </x:c>
      <x:c r="L92" s="25" t="str">
        <x:f>IF(K92&lt;=10,119,"")</x:f>
        <x:v/>
      </x:c>
      <x:c r="N92" s="1"/>
    </x:row>
    <x:row r="93" spans="1:14" customFormat="1" ht="18" hidden="1" customHeight="1">
      <x:c r="A93" s="15" t="s">
        <x:v>53</x:v>
      </x:c>
      <x:c r="B93" s="14" t="s">
        <x:v>143</x:v>
      </x:c>
      <x:c r="C93" s="6">
        <x:v>8</x:v>
      </x:c>
      <x:c r="D93" s="14" t="s">
        <x:v>249</x:v>
      </x:c>
      <x:c r="E93" s="1" t="s">
        <x:v>159</x:v>
      </x:c>
      <x:c r="F93" s="7">
        <x:f>'2026.9.8'!K91</x:f>
        <x:v>299</x:v>
      </x:c>
      <x:c r="G93" s="1">
        <x:f>SUM(H18:H21)*C93</x:f>
        <x:v>0</x:v>
      </x:c>
      <x:c r="H93" s="1"/>
      <x:c r="I93" s="1"/>
      <x:c r="J93" s="12">
        <x:f>F93+I93-G93-H93</x:f>
        <x:v>299</x:v>
      </x:c>
      <x:c r="K93" s="13">
        <x:f>J93/C93</x:f>
        <x:v>37.375</x:v>
      </x:c>
      <x:c r="L93" s="25" t="str">
        <x:f>IF(K93&lt;=10,119,"")</x:f>
        <x:v/>
      </x:c>
      <x:c r="N93" s="1"/>
    </x:row>
    <x:row r="94" spans="1:14" customFormat="1" ht="18" hidden="1" customHeight="1">
      <x:c r="A94" s="15" t="s">
        <x:v>53</x:v>
      </x:c>
      <x:c r="B94" s="14" t="s">
        <x:v>143</x:v>
      </x:c>
      <x:c r="C94" s="6">
        <x:v>8</x:v>
      </x:c>
      <x:c r="D94" s="14" t="s">
        <x:v>70</x:v>
      </x:c>
      <x:c r="E94" s="7" t="s">
        <x:v>192</x:v>
      </x:c>
      <x:c r="F94" s="7">
        <x:f>'2026.9.8'!K92</x:f>
        <x:v>686</x:v>
      </x:c>
      <x:c r="G94" s="1">
        <x:f>H22*C94</x:f>
        <x:v>0</x:v>
      </x:c>
      <x:c r="H94" s="1"/>
      <x:c r="I94" s="1"/>
      <x:c r="J94" s="12">
        <x:f>F94+I94-G94-H94</x:f>
        <x:v>686</x:v>
      </x:c>
      <x:c r="K94" s="13">
        <x:f>J94/C94</x:f>
        <x:v>85.75</x:v>
      </x:c>
      <x:c r="L94" s="25" t="str">
        <x:f>IF(K94&lt;=10,119,"")</x:f>
        <x:v/>
      </x:c>
      <x:c r="N94" s="1"/>
    </x:row>
    <x:row r="95" spans="1:14" customFormat="1" ht="18" hidden="1" customHeight="1">
      <x:c r="A95" s="15" t="s">
        <x:v>53</x:v>
      </x:c>
      <x:c r="B95" s="14" t="s">
        <x:v>143</x:v>
      </x:c>
      <x:c r="C95" s="6">
        <x:v>4</x:v>
      </x:c>
      <x:c r="D95" s="14" t="s">
        <x:v>276</x:v>
      </x:c>
      <x:c r="E95" s="6" t="s">
        <x:v>203</x:v>
      </x:c>
      <x:c r="F95" s="7">
        <x:f>'2026.9.8'!K93</x:f>
        <x:v>2</x:v>
      </x:c>
      <x:c r="G95" s="1">
        <x:f>SUM(H23:H24)*C95</x:f>
        <x:v>0</x:v>
      </x:c>
      <x:c r="H95" s="1"/>
      <x:c r="I95" s="1"/>
      <x:c r="J95" s="12">
        <x:f>F95+I95-G95-H95</x:f>
        <x:v>2</x:v>
      </x:c>
      <x:c r="K95" s="13">
        <x:f>J95/C95</x:f>
        <x:v>0.5</x:v>
      </x:c>
      <x:c r="L95" s="25">
        <x:f>IF(K95&lt;=10,119,"")</x:f>
        <x:v>119</x:v>
      </x:c>
      <x:c r="N95" s="1"/>
    </x:row>
    <x:row r="96" spans="1:14" customFormat="1" ht="18" hidden="1" customHeight="1">
      <x:c r="A96" s="15" t="s">
        <x:v>53</x:v>
      </x:c>
      <x:c r="B96" s="14" t="s">
        <x:v>143</x:v>
      </x:c>
      <x:c r="C96" s="6">
        <x:v>8</x:v>
      </x:c>
      <x:c r="D96" s="14" t="s">
        <x:v>11</x:v>
      </x:c>
      <x:c r="E96" s="6" t="s">
        <x:v>30</x:v>
      </x:c>
      <x:c r="F96" s="7">
        <x:f>'2026.9.8'!K94</x:f>
        <x:v>23</x:v>
      </x:c>
      <x:c r="G96" s="1">
        <x:f>SUM(H25:H26)*C96</x:f>
        <x:v>0</x:v>
      </x:c>
      <x:c r="H96" s="1"/>
      <x:c r="I96" s="1"/>
      <x:c r="J96" s="12">
        <x:f>F96+I96-G96-H96</x:f>
        <x:v>23</x:v>
      </x:c>
      <x:c r="K96" s="13">
        <x:f>J96/C96</x:f>
        <x:v>2.875</x:v>
      </x:c>
      <x:c r="L96" s="25">
        <x:f>IF(K96&lt;=10,119,"")</x:f>
        <x:v>119</x:v>
      </x:c>
      <x:c r="N96" s="1"/>
    </x:row>
    <x:row r="97" spans="1:14" customFormat="1" ht="18" hidden="1" customHeight="1">
      <x:c r="A97" s="15" t="s">
        <x:v>53</x:v>
      </x:c>
      <x:c r="B97" s="14" t="s">
        <x:v>140</x:v>
      </x:c>
      <x:c r="C97" s="1">
        <x:v>4</x:v>
      </x:c>
      <x:c r="D97" s="14" t="s">
        <x:v>83</x:v>
      </x:c>
      <x:c r="E97" s="1" t="s">
        <x:v>49</x:v>
      </x:c>
      <x:c r="F97" s="7">
        <x:f>'2026.9.8'!K95</x:f>
        <x:v>138</x:v>
      </x:c>
      <x:c r="G97" s="1">
        <x:f>J7*C97</x:f>
        <x:v>0</x:v>
      </x:c>
      <x:c r="H97" s="1"/>
      <x:c r="I97" s="1"/>
      <x:c r="J97" s="12">
        <x:f>F97+I97-G97-H97</x:f>
        <x:v>138</x:v>
      </x:c>
      <x:c r="K97" s="13">
        <x:f>J97/C97</x:f>
        <x:v>34.5</x:v>
      </x:c>
      <x:c r="L97" s="25" t="str">
        <x:f>IF(K97&lt;=10,119,"")</x:f>
        <x:v/>
      </x:c>
      <x:c r="N97" s="1"/>
    </x:row>
    <x:row r="98" spans="1:14" customFormat="1" ht="18" hidden="1" customHeight="1">
      <x:c r="A98" s="15" t="s">
        <x:v>53</x:v>
      </x:c>
      <x:c r="B98" s="14" t="s">
        <x:v>140</x:v>
      </x:c>
      <x:c r="C98" s="1">
        <x:v>4</x:v>
      </x:c>
      <x:c r="D98" s="14" t="s">
        <x:v>8</x:v>
      </x:c>
      <x:c r="E98" s="7" t="s">
        <x:v>71</x:v>
      </x:c>
      <x:c r="F98" s="7">
        <x:f>'2026.9.8'!K96</x:f>
        <x:v>155</x:v>
      </x:c>
      <x:c r="G98" s="1">
        <x:f>SUM(J8:J9)*C98</x:f>
        <x:v>8</x:v>
      </x:c>
      <x:c r="H98" s="1"/>
      <x:c r="I98" s="1"/>
      <x:c r="J98" s="12">
        <x:f>F98+I98-G98-H98</x:f>
        <x:v>147</x:v>
      </x:c>
      <x:c r="K98" s="13">
        <x:f>J98/C98</x:f>
        <x:v>36.75</x:v>
      </x:c>
      <x:c r="L98" s="25" t="str">
        <x:f>IF(K98&lt;=10,119,"")</x:f>
        <x:v/>
      </x:c>
      <x:c r="N98" s="1"/>
    </x:row>
    <x:row r="99" spans="1:14" customFormat="1" ht="18" hidden="1" customHeight="1">
      <x:c r="A99" s="15" t="s">
        <x:v>53</x:v>
      </x:c>
      <x:c r="B99" s="14" t="s">
        <x:v>140</x:v>
      </x:c>
      <x:c r="C99" s="1">
        <x:v>4</x:v>
      </x:c>
      <x:c r="D99" s="9" t="s">
        <x:v>73</x:v>
      </x:c>
      <x:c r="E99" s="7" t="s">
        <x:v>79</x:v>
      </x:c>
      <x:c r="F99" s="7">
        <x:f>'2026.9.8'!K97</x:f>
        <x:v>157</x:v>
      </x:c>
      <x:c r="G99" s="1">
        <x:f>J10*C99</x:f>
        <x:v>12</x:v>
      </x:c>
      <x:c r="H99" s="1"/>
      <x:c r="I99" s="1"/>
      <x:c r="J99" s="12">
        <x:f>F99+I99-G99-H99</x:f>
        <x:v>145</x:v>
      </x:c>
      <x:c r="K99" s="13">
        <x:f>J99/C99</x:f>
        <x:v>36.25</x:v>
      </x:c>
      <x:c r="L99" s="25" t="str">
        <x:f>IF(K99&lt;=10,119,"")</x:f>
        <x:v/>
      </x:c>
      <x:c r="N99" s="1"/>
    </x:row>
    <x:row r="100" spans="1:14" customFormat="1" ht="18" hidden="1" customHeight="1">
      <x:c r="A100" s="15" t="s">
        <x:v>260</x:v>
      </x:c>
      <x:c r="B100" s="14" t="s">
        <x:v>160</x:v>
      </x:c>
      <x:c r="C100" s="1">
        <x:v>2</x:v>
      </x:c>
      <x:c r="D100" s="9" t="s">
        <x:v>262</x:v>
      </x:c>
      <x:c r="E100" s="7" t="s">
        <x:v>125</x:v>
      </x:c>
      <x:c r="F100" s="7">
        <x:f>'2026.9.8'!K98</x:f>
        <x:v>122</x:v>
      </x:c>
      <x:c r="G100" s="1">
        <x:f>SUM(H5:H16)*C100</x:f>
        <x:v>0</x:v>
      </x:c>
      <x:c r="H100" s="1"/>
      <x:c r="I100" s="1"/>
      <x:c r="J100" s="12">
        <x:f>F100+I100-G100-H100</x:f>
        <x:v>122</x:v>
      </x:c>
      <x:c r="K100" s="13">
        <x:f>J100/C100</x:f>
        <x:v>61</x:v>
      </x:c>
      <x:c r="L100" s="25" t="str">
        <x:f>IF(K100&lt;=10,119,"")</x:f>
        <x:v/>
      </x:c>
      <x:c r="N100" s="1"/>
    </x:row>
    <x:row r="101" spans="1:14" customFormat="1" ht="18" hidden="1" customHeight="1">
      <x:c r="A101" s="15" t="s">
        <x:v>260</x:v>
      </x:c>
      <x:c r="B101" s="14" t="s">
        <x:v>160</x:v>
      </x:c>
      <x:c r="C101" s="6">
        <x:v>2</x:v>
      </x:c>
      <x:c r="D101" s="14" t="s">
        <x:v>249</x:v>
      </x:c>
      <x:c r="E101" s="1" t="s">
        <x:v>132</x:v>
      </x:c>
      <x:c r="F101" s="7">
        <x:f>'2026.9.8'!K99</x:f>
        <x:v>37</x:v>
      </x:c>
      <x:c r="G101" s="1">
        <x:f>SUM(H18:H21)*C101</x:f>
        <x:v>0</x:v>
      </x:c>
      <x:c r="H101" s="1"/>
      <x:c r="I101" s="1"/>
      <x:c r="J101" s="12">
        <x:f>F101+I101-G101-H101</x:f>
        <x:v>37</x:v>
      </x:c>
      <x:c r="K101" s="13">
        <x:f>J101/C101</x:f>
        <x:v>18.5</x:v>
      </x:c>
      <x:c r="L101" s="25" t="str">
        <x:f>IF(K101&lt;=10,119,"")</x:f>
        <x:v/>
      </x:c>
      <x:c r="N101" s="1"/>
    </x:row>
    <x:row r="102" spans="1:14" customFormat="1" ht="18" hidden="1" customHeight="1">
      <x:c r="A102" s="15" t="s">
        <x:v>260</x:v>
      </x:c>
      <x:c r="B102" s="14" t="s">
        <x:v>160</x:v>
      </x:c>
      <x:c r="C102" s="6">
        <x:v>2</x:v>
      </x:c>
      <x:c r="D102" s="14" t="s">
        <x:v>70</x:v>
      </x:c>
      <x:c r="E102" s="7" t="s">
        <x:v>129</x:v>
      </x:c>
      <x:c r="F102" s="7">
        <x:f>'2026.9.8'!K100</x:f>
        <x:v>94</x:v>
      </x:c>
      <x:c r="G102" s="1">
        <x:f>H22*C102</x:f>
        <x:v>0</x:v>
      </x:c>
      <x:c r="H102" s="1"/>
      <x:c r="I102" s="1"/>
      <x:c r="J102" s="12">
        <x:f>F102+I102-G102-H102</x:f>
        <x:v>94</x:v>
      </x:c>
      <x:c r="K102" s="13">
        <x:f>J102/C102</x:f>
        <x:v>47</x:v>
      </x:c>
      <x:c r="L102" s="25" t="str">
        <x:f>IF(K102&lt;=10,119,"")</x:f>
        <x:v/>
      </x:c>
      <x:c r="N102" s="1"/>
    </x:row>
    <x:row r="103" spans="1:14" customFormat="1" ht="18" hidden="1" customHeight="1">
      <x:c r="A103" s="15" t="s">
        <x:v>260</x:v>
      </x:c>
      <x:c r="B103" s="14" t="s">
        <x:v>177</x:v>
      </x:c>
      <x:c r="C103" s="6">
        <x:v>2</x:v>
      </x:c>
      <x:c r="D103" s="14" t="s">
        <x:v>22</x:v>
      </x:c>
      <x:c r="E103" s="6" t="s">
        <x:v>212</x:v>
      </x:c>
      <x:c r="F103" s="7">
        <x:f>'2026.9.8'!K101</x:f>
        <x:v>0</x:v>
      </x:c>
      <x:c r="G103" s="1">
        <x:f>H25*C103</x:f>
        <x:v>0</x:v>
      </x:c>
      <x:c r="H103" s="1"/>
      <x:c r="I103" s="1"/>
      <x:c r="J103" s="12">
        <x:f>F103+I103-G103-H103</x:f>
        <x:v>0</x:v>
      </x:c>
      <x:c r="K103" s="13">
        <x:f>J103/C103</x:f>
        <x:v>0</x:v>
      </x:c>
      <x:c r="L103" s="25">
        <x:f>IF(K103&lt;=10,119,"")</x:f>
        <x:v>119</x:v>
      </x:c>
      <x:c r="N103" s="1"/>
    </x:row>
    <x:row r="104" spans="1:14" customFormat="1" ht="18" hidden="1" customHeight="1">
      <x:c r="A104" s="15" t="s">
        <x:v>260</x:v>
      </x:c>
      <x:c r="B104" s="14" t="s">
        <x:v>177</x:v>
      </x:c>
      <x:c r="C104" s="6">
        <x:v>2</x:v>
      </x:c>
      <x:c r="D104" s="14" t="s">
        <x:v>96</x:v>
      </x:c>
      <x:c r="E104" s="6" t="s">
        <x:v>225</x:v>
      </x:c>
      <x:c r="F104" s="7">
        <x:f>'2026.9.8'!K102</x:f>
        <x:v>4</x:v>
      </x:c>
      <x:c r="G104" s="1">
        <x:f>H26*C104</x:f>
        <x:v>0</x:v>
      </x:c>
      <x:c r="H104" s="1"/>
      <x:c r="I104" s="1"/>
      <x:c r="J104" s="12">
        <x:f>F104+I104-G104-H104</x:f>
        <x:v>4</x:v>
      </x:c>
      <x:c r="K104" s="13">
        <x:f>J104/C104</x:f>
        <x:v>2</x:v>
      </x:c>
      <x:c r="L104" s="25">
        <x:f>IF(K104&lt;=10,119,"")</x:f>
        <x:v>119</x:v>
      </x:c>
      <x:c r="N104" s="1"/>
    </x:row>
    <x:row r="105" spans="1:14" customFormat="1" ht="18" hidden="1" customHeight="1">
      <x:c r="A105" s="15" t="s">
        <x:v>256</x:v>
      </x:c>
      <x:c r="B105" s="14" t="s">
        <x:v>161</x:v>
      </x:c>
      <x:c r="C105" s="6">
        <x:v>2</x:v>
      </x:c>
      <x:c r="D105" s="14" t="s">
        <x:v>262</x:v>
      </x:c>
      <x:c r="E105" s="1" t="s">
        <x:v>152</x:v>
      </x:c>
      <x:c r="F105" s="7">
        <x:f>'2026.9.8'!K103</x:f>
        <x:v>72</x:v>
      </x:c>
      <x:c r="G105" s="6">
        <x:f>SUM(H5:H16)*C105</x:f>
        <x:v>0</x:v>
      </x:c>
      <x:c r="H105" s="6"/>
      <x:c r="I105" s="6"/>
      <x:c r="J105" s="12">
        <x:f>F105+I105-G105-H105</x:f>
        <x:v>72</x:v>
      </x:c>
      <x:c r="K105" s="13">
        <x:f>J105/C105</x:f>
        <x:v>36</x:v>
      </x:c>
      <x:c r="L105" s="25" t="str">
        <x:f>IF(K105&lt;=10,119,"")</x:f>
        <x:v/>
      </x:c>
      <x:c r="N105" s="1"/>
    </x:row>
    <x:row r="106" spans="1:14" customFormat="1" ht="18" hidden="1" customHeight="1">
      <x:c r="A106" s="15" t="s">
        <x:v>256</x:v>
      </x:c>
      <x:c r="B106" s="14" t="s">
        <x:v>161</x:v>
      </x:c>
      <x:c r="C106" s="6">
        <x:v>2</x:v>
      </x:c>
      <x:c r="D106" s="14" t="s">
        <x:v>249</x:v>
      </x:c>
      <x:c r="E106" s="1" t="s">
        <x:v>141</x:v>
      </x:c>
      <x:c r="F106" s="7">
        <x:f>'2026.9.8'!K104</x:f>
        <x:v>41</x:v>
      </x:c>
      <x:c r="G106" s="1">
        <x:f>SUM(H18:H21)*C106</x:f>
        <x:v>0</x:v>
      </x:c>
      <x:c r="H106" s="1"/>
      <x:c r="I106" s="1"/>
      <x:c r="J106" s="12">
        <x:f>F106+I106-G106-H106</x:f>
        <x:v>41</x:v>
      </x:c>
      <x:c r="K106" s="13">
        <x:f>J106/C106</x:f>
        <x:v>20.5</x:v>
      </x:c>
      <x:c r="L106" s="25" t="str">
        <x:f>IF(K106&lt;=10,119,"")</x:f>
        <x:v/>
      </x:c>
      <x:c r="N106" s="1"/>
    </x:row>
    <x:row r="107" spans="1:14" customFormat="1" ht="18" hidden="1" customHeight="1">
      <x:c r="A107" s="15" t="s">
        <x:v>256</x:v>
      </x:c>
      <x:c r="B107" s="14" t="s">
        <x:v>161</x:v>
      </x:c>
      <x:c r="C107" s="6">
        <x:v>2</x:v>
      </x:c>
      <x:c r="D107" s="14" t="s">
        <x:v>70</x:v>
      </x:c>
      <x:c r="E107" s="7" t="s">
        <x:v>138</x:v>
      </x:c>
      <x:c r="F107" s="7">
        <x:f>'2026.9.8'!K105</x:f>
        <x:v>32</x:v>
      </x:c>
      <x:c r="G107" s="1">
        <x:f>H22*C107</x:f>
        <x:v>0</x:v>
      </x:c>
      <x:c r="H107" s="1"/>
      <x:c r="I107" s="1"/>
      <x:c r="J107" s="12">
        <x:f>F107+I107-G107-H107</x:f>
        <x:v>32</x:v>
      </x:c>
      <x:c r="K107" s="13">
        <x:f>J107/C107</x:f>
        <x:v>16</x:v>
      </x:c>
      <x:c r="L107" s="25" t="str">
        <x:f>IF(K107&lt;=10,119,"")</x:f>
        <x:v/>
      </x:c>
      <x:c r="N107" s="1"/>
    </x:row>
    <x:row r="108" spans="1:14" customFormat="1" ht="18" hidden="1" customHeight="1">
      <x:c r="A108" s="15" t="s">
        <x:v>256</x:v>
      </x:c>
      <x:c r="B108" s="14" t="s">
        <x:v>161</x:v>
      </x:c>
      <x:c r="C108" s="6">
        <x:v>2</x:v>
      </x:c>
      <x:c r="D108" s="14" t="s">
        <x:v>22</x:v>
      </x:c>
      <x:c r="E108" s="6" t="s">
        <x:v>179</x:v>
      </x:c>
      <x:c r="F108" s="7">
        <x:f>'2026.9.8'!K106</x:f>
        <x:v>0</x:v>
      </x:c>
      <x:c r="G108" s="1">
        <x:f>H25*C108</x:f>
        <x:v>0</x:v>
      </x:c>
      <x:c r="H108" s="1"/>
      <x:c r="I108" s="1"/>
      <x:c r="J108" s="12">
        <x:f>F108+I108-G108-H108</x:f>
        <x:v>0</x:v>
      </x:c>
      <x:c r="K108" s="13">
        <x:f>J108/C108</x:f>
        <x:v>0</x:v>
      </x:c>
      <x:c r="L108" s="25">
        <x:f>IF(K108&lt;=10,119,"")</x:f>
        <x:v>119</x:v>
      </x:c>
      <x:c r="N108" s="1"/>
    </x:row>
    <x:row r="109" spans="1:14" customFormat="1" ht="18" hidden="1" customHeight="1">
      <x:c r="A109" s="15" t="s">
        <x:v>256</x:v>
      </x:c>
      <x:c r="B109" s="14" t="s">
        <x:v>161</x:v>
      </x:c>
      <x:c r="C109" s="6">
        <x:v>2</x:v>
      </x:c>
      <x:c r="D109" s="14" t="s">
        <x:v>96</x:v>
      </x:c>
      <x:c r="E109" s="6" t="s">
        <x:v>202</x:v>
      </x:c>
      <x:c r="F109" s="7">
        <x:f>'2026.9.8'!K107</x:f>
        <x:v>4</x:v>
      </x:c>
      <x:c r="G109" s="1">
        <x:f>H26*C109</x:f>
        <x:v>0</x:v>
      </x:c>
      <x:c r="H109" s="1"/>
      <x:c r="I109" s="1"/>
      <x:c r="J109" s="12">
        <x:f>F109+I109-G109-H109</x:f>
        <x:v>4</x:v>
      </x:c>
      <x:c r="K109" s="13">
        <x:f>J109/C109</x:f>
        <x:v>2</x:v>
      </x:c>
      <x:c r="L109" s="25">
        <x:f>IF(K109&lt;=10,119,"")</x:f>
        <x:v>119</x:v>
      </x:c>
      <x:c r="N109" s="1"/>
    </x:row>
    <x:row r="110" spans="1:14" customFormat="1" ht="18" hidden="1" customHeight="1">
      <x:c r="A110" s="15" t="s">
        <x:v>240</x:v>
      </x:c>
      <x:c r="B110" s="14" t="s">
        <x:v>181</x:v>
      </x:c>
      <x:c r="C110" s="6">
        <x:v>2</x:v>
      </x:c>
      <x:c r="D110" s="14" t="s">
        <x:v>262</x:v>
      </x:c>
      <x:c r="E110" s="1" t="s">
        <x:v>235</x:v>
      </x:c>
      <x:c r="F110" s="7">
        <x:f>'2026.9.8'!K108</x:f>
        <x:v>68</x:v>
      </x:c>
      <x:c r="G110" s="1">
        <x:f>SUM(H5:H16)*C110</x:f>
        <x:v>0</x:v>
      </x:c>
      <x:c r="H110" s="1"/>
      <x:c r="I110" s="1">
        <x:v>24</x:v>
      </x:c>
      <x:c r="J110" s="12">
        <x:f>F110+I110-G110-H110</x:f>
        <x:v>92</x:v>
      </x:c>
      <x:c r="K110" s="13">
        <x:f>J110/C110</x:f>
        <x:v>46</x:v>
      </x:c>
      <x:c r="L110" s="25" t="str">
        <x:f>IF(K110&lt;=10,119,"")</x:f>
        <x:v/>
      </x:c>
      <x:c r="N110" s="1"/>
    </x:row>
    <x:row r="111" spans="1:14" customFormat="1" ht="18" hidden="1" customHeight="1">
      <x:c r="A111" s="15" t="s">
        <x:v>240</x:v>
      </x:c>
      <x:c r="B111" s="14" t="s">
        <x:v>181</x:v>
      </x:c>
      <x:c r="C111" s="6">
        <x:v>2</x:v>
      </x:c>
      <x:c r="D111" s="14" t="s">
        <x:v>249</x:v>
      </x:c>
      <x:c r="E111" s="1" t="s">
        <x:v>238</x:v>
      </x:c>
      <x:c r="F111" s="7">
        <x:f>'2026.9.8'!K109</x:f>
        <x:v>10</x:v>
      </x:c>
      <x:c r="G111" s="1">
        <x:f>SUM(H18:H21)*C111</x:f>
        <x:v>0</x:v>
      </x:c>
      <x:c r="H111" s="1"/>
      <x:c r="I111" s="1">
        <x:v>22</x:v>
      </x:c>
      <x:c r="J111" s="12">
        <x:f>F111+I111-G111-H111</x:f>
        <x:v>32</x:v>
      </x:c>
      <x:c r="K111" s="13">
        <x:f>J111/C111</x:f>
        <x:v>16</x:v>
      </x:c>
      <x:c r="L111" s="25" t="str">
        <x:f>IF(K111&lt;=10,119,"")</x:f>
        <x:v/>
      </x:c>
      <x:c r="N111" s="1"/>
    </x:row>
    <x:row r="112" spans="1:14" customFormat="1" ht="18" hidden="1" customHeight="1">
      <x:c r="A112" s="15" t="s">
        <x:v>240</x:v>
      </x:c>
      <x:c r="B112" s="14" t="s">
        <x:v>181</x:v>
      </x:c>
      <x:c r="C112" s="6">
        <x:v>2</x:v>
      </x:c>
      <x:c r="D112" s="14" t="s">
        <x:v>70</x:v>
      </x:c>
      <x:c r="E112" s="1" t="s">
        <x:v>100</x:v>
      </x:c>
      <x:c r="F112" s="7">
        <x:f>'2026.9.8'!K110</x:f>
        <x:v>30</x:v>
      </x:c>
      <x:c r="G112" s="1">
        <x:f>SUM(H22)*C112</x:f>
        <x:v>0</x:v>
      </x:c>
      <x:c r="H112" s="1"/>
      <x:c r="I112" s="1">
        <x:v>2</x:v>
      </x:c>
      <x:c r="J112" s="12">
        <x:f>F112+I112-G112-H112</x:f>
        <x:v>32</x:v>
      </x:c>
      <x:c r="K112" s="13">
        <x:f>J112/C112</x:f>
        <x:v>16</x:v>
      </x:c>
      <x:c r="L112" s="25" t="str">
        <x:f>IF(K112&lt;=10,119,"")</x:f>
        <x:v/>
      </x:c>
      <x:c r="N112" s="1"/>
    </x:row>
    <x:row r="113" spans="1:14" customFormat="1" ht="18" hidden="1" customHeight="1">
      <x:c r="A113" s="15" t="s">
        <x:v>240</x:v>
      </x:c>
      <x:c r="B113" s="14" t="s">
        <x:v>181</x:v>
      </x:c>
      <x:c r="C113" s="6">
        <x:v>2</x:v>
      </x:c>
      <x:c r="D113" s="14" t="s">
        <x:v>22</x:v>
      </x:c>
      <x:c r="E113" s="1" t="s">
        <x:v>116</x:v>
      </x:c>
      <x:c r="F113" s="7">
        <x:f>'2026.9.8'!K111</x:f>
        <x:v>0</x:v>
      </x:c>
      <x:c r="G113" s="1">
        <x:f>H25*C113</x:f>
        <x:v>0</x:v>
      </x:c>
      <x:c r="H113" s="1"/>
      <x:c r="I113" s="1"/>
      <x:c r="J113" s="12">
        <x:f>F113+I113-G113-H113</x:f>
        <x:v>0</x:v>
      </x:c>
      <x:c r="K113" s="13">
        <x:f>J113/C113</x:f>
        <x:v>0</x:v>
      </x:c>
      <x:c r="L113" s="25">
        <x:f>IF(K113&lt;=10,119,"")</x:f>
        <x:v>119</x:v>
      </x:c>
      <x:c r="N113" s="1"/>
    </x:row>
    <x:row r="114" spans="1:14" customFormat="1" ht="18" hidden="1" customHeight="1">
      <x:c r="A114" s="15" t="s">
        <x:v>240</x:v>
      </x:c>
      <x:c r="B114" s="14" t="s">
        <x:v>181</x:v>
      </x:c>
      <x:c r="C114" s="6">
        <x:v>2</x:v>
      </x:c>
      <x:c r="D114" s="14" t="s">
        <x:v>96</x:v>
      </x:c>
      <x:c r="E114" s="1" t="s">
        <x:v>91</x:v>
      </x:c>
      <x:c r="F114" s="7">
        <x:f>'2026.9.8'!K112</x:f>
        <x:v>5</x:v>
      </x:c>
      <x:c r="G114" s="1">
        <x:f>H26*C114</x:f>
        <x:v>0</x:v>
      </x:c>
      <x:c r="H114" s="1"/>
      <x:c r="I114" s="1"/>
      <x:c r="J114" s="12">
        <x:f>F114+I114-G114-H114</x:f>
        <x:v>5</x:v>
      </x:c>
      <x:c r="K114" s="13">
        <x:f>J114/C114</x:f>
        <x:v>2.5</x:v>
      </x:c>
      <x:c r="L114" s="25">
        <x:f>IF(K114&lt;=10,119,"")</x:f>
        <x:v>119</x:v>
      </x:c>
      <x:c r="N114" s="1"/>
    </x:row>
    <x:row r="115" spans="1:14" customFormat="1" ht="18" hidden="1" customHeight="1">
      <x:c r="A115" s="15" t="s">
        <x:v>10</x:v>
      </x:c>
      <x:c r="B115" s="14" t="s">
        <x:v>181</x:v>
      </x:c>
      <x:c r="C115" s="6">
        <x:v>1</x:v>
      </x:c>
      <x:c r="D115" s="14" t="s">
        <x:v>268</x:v>
      </x:c>
      <x:c r="E115" s="1" t="s">
        <x:v>40</x:v>
      </x:c>
      <x:c r="F115" s="7">
        <x:f>'2026.9.8'!K113</x:f>
        <x:v>44</x:v>
      </x:c>
      <x:c r="G115" s="1">
        <x:f>SUM(H5:H21)*C115</x:f>
        <x:v>0</x:v>
      </x:c>
      <x:c r="H115" s="1"/>
      <x:c r="I115" s="1">
        <x:v>23</x:v>
      </x:c>
      <x:c r="J115" s="12">
        <x:f>F115+I115-G115-H115</x:f>
        <x:v>67</x:v>
      </x:c>
      <x:c r="K115" s="13">
        <x:f>J115/C115</x:f>
        <x:v>67</x:v>
      </x:c>
      <x:c r="L115" s="25" t="str">
        <x:f>IF(K115&lt;=10,119,"")</x:f>
        <x:v/>
      </x:c>
      <x:c r="N115" s="1"/>
    </x:row>
    <x:row r="116" spans="1:14" customFormat="1" ht="18" hidden="1" customHeight="1">
      <x:c r="A116" s="15" t="s">
        <x:v>10</x:v>
      </x:c>
      <x:c r="B116" s="14" t="s">
        <x:v>181</x:v>
      </x:c>
      <x:c r="C116" s="6">
        <x:v>1</x:v>
      </x:c>
      <x:c r="D116" s="14" t="s">
        <x:v>70</x:v>
      </x:c>
      <x:c r="E116" s="1" t="s">
        <x:v>100</x:v>
      </x:c>
      <x:c r="F116" s="7">
        <x:f>'2026.9.8'!K114</x:f>
        <x:v>17</x:v>
      </x:c>
      <x:c r="G116" s="1">
        <x:f>SUM(G22)*C116</x:f>
        <x:v>0</x:v>
      </x:c>
      <x:c r="H116" s="1"/>
      <x:c r="I116" s="1">
        <x:v>1</x:v>
      </x:c>
      <x:c r="J116" s="12">
        <x:f>F116+I116-G116-H116</x:f>
        <x:v>18</x:v>
      </x:c>
      <x:c r="K116" s="13">
        <x:f>J116/C116</x:f>
        <x:v>18</x:v>
      </x:c>
      <x:c r="L116" s="25" t="str">
        <x:f>IF(K116&lt;=10,119,"")</x:f>
        <x:v/>
      </x:c>
      <x:c r="N116" s="1"/>
    </x:row>
    <x:row r="117" spans="1:14" customFormat="1" ht="18" hidden="1" customHeight="1">
      <x:c r="A117" s="15" t="s">
        <x:v>10</x:v>
      </x:c>
      <x:c r="B117" s="14" t="s">
        <x:v>181</x:v>
      </x:c>
      <x:c r="C117" s="6">
        <x:v>1</x:v>
      </x:c>
      <x:c r="D117" s="14" t="s">
        <x:v>244</x:v>
      </x:c>
      <x:c r="E117" s="1" t="s">
        <x:v>89</x:v>
      </x:c>
      <x:c r="F117" s="7">
        <x:f>'2026.9.8'!K115</x:f>
        <x:v>0</x:v>
      </x:c>
      <x:c r="G117" s="1">
        <x:f>H23</x:f>
        <x:v>0</x:v>
      </x:c>
      <x:c r="H117" s="1"/>
      <x:c r="I117" s="1"/>
      <x:c r="J117" s="12">
        <x:f>F117+I117-G117-H117</x:f>
        <x:v>0</x:v>
      </x:c>
      <x:c r="K117" s="13">
        <x:f>J117/C117</x:f>
        <x:v>0</x:v>
      </x:c>
      <x:c r="L117" s="25">
        <x:f>IF(K117&lt;=10,119,"")</x:f>
        <x:v>119</x:v>
      </x:c>
      <x:c r="N117" s="1"/>
    </x:row>
    <x:row r="118" spans="1:14" customFormat="1" ht="18" hidden="1" customHeight="1">
      <x:c r="A118" s="15" t="s">
        <x:v>10</x:v>
      </x:c>
      <x:c r="B118" s="14" t="s">
        <x:v>181</x:v>
      </x:c>
      <x:c r="C118" s="6">
        <x:v>1</x:v>
      </x:c>
      <x:c r="D118" s="14" t="s">
        <x:v>247</x:v>
      </x:c>
      <x:c r="E118" s="1" t="s">
        <x:v>86</x:v>
      </x:c>
      <x:c r="F118" s="7">
        <x:f>'2026.9.8'!K116</x:f>
        <x:v>0</x:v>
      </x:c>
      <x:c r="G118" s="1">
        <x:f>H24</x:f>
        <x:v>0</x:v>
      </x:c>
      <x:c r="H118" s="1"/>
      <x:c r="I118" s="1"/>
      <x:c r="J118" s="12">
        <x:f>F118+I118-G118-H118</x:f>
        <x:v>0</x:v>
      </x:c>
      <x:c r="K118" s="13">
        <x:f>J118/C118</x:f>
        <x:v>0</x:v>
      </x:c>
      <x:c r="L118" s="25">
        <x:f>IF(K118&lt;=10,119,"")</x:f>
        <x:v>119</x:v>
      </x:c>
      <x:c r="N118" s="1"/>
    </x:row>
    <x:row r="119" spans="1:14" customFormat="1" ht="18" hidden="1" customHeight="1">
      <x:c r="A119" s="15" t="s">
        <x:v>10</x:v>
      </x:c>
      <x:c r="B119" s="14" t="s">
        <x:v>181</x:v>
      </x:c>
      <x:c r="C119" s="6">
        <x:v>1</x:v>
      </x:c>
      <x:c r="D119" s="14" t="s">
        <x:v>11</x:v>
      </x:c>
      <x:c r="E119" s="1" t="s">
        <x:v>109</x:v>
      </x:c>
      <x:c r="F119" s="7">
        <x:f>'2026.9.8'!K117</x:f>
        <x:v>2</x:v>
      </x:c>
      <x:c r="G119" s="1">
        <x:f>SUM(H25:H26)*C119</x:f>
        <x:v>0</x:v>
      </x:c>
      <x:c r="H119" s="1"/>
      <x:c r="I119" s="1"/>
      <x:c r="J119" s="12">
        <x:f>F119+I119-G119-H119</x:f>
        <x:v>2</x:v>
      </x:c>
      <x:c r="K119" s="13">
        <x:f>J119/C119</x:f>
        <x:v>2</x:v>
      </x:c>
      <x:c r="L119" s="25">
        <x:f>IF(K119&lt;=10,119,"")</x:f>
        <x:v>119</x:v>
      </x:c>
      <x:c r="N119" s="1"/>
    </x:row>
    <x:row r="120" spans="1:14" customFormat="1" ht="18" hidden="1" customHeight="1">
      <x:c r="A120" s="15" t="s">
        <x:v>10</x:v>
      </x:c>
      <x:c r="B120" s="14" t="s">
        <x:v>137</x:v>
      </x:c>
      <x:c r="C120" s="6">
        <x:v>1</x:v>
      </x:c>
      <x:c r="D120" s="14" t="s">
        <x:v>83</x:v>
      </x:c>
      <x:c r="E120" s="1"/>
      <x:c r="F120" s="7">
        <x:f>'2026.9.8'!K118</x:f>
        <x:v>0</x:v>
      </x:c>
      <x:c r="G120" s="1">
        <x:f>J7*C120</x:f>
        <x:v>0</x:v>
      </x:c>
      <x:c r="H120" s="1"/>
      <x:c r="I120" s="1"/>
      <x:c r="J120" s="12">
        <x:f>F120+I120-G120-H120</x:f>
        <x:v>0</x:v>
      </x:c>
      <x:c r="K120" s="13">
        <x:f>J120/C120</x:f>
        <x:v>0</x:v>
      </x:c>
      <x:c r="L120" s="25">
        <x:f>IF(K120&lt;=10,119,"")</x:f>
        <x:v>119</x:v>
      </x:c>
      <x:c r="N120" s="1"/>
    </x:row>
    <x:row r="121" spans="1:14" customFormat="1" ht="18" hidden="1" customHeight="1">
      <x:c r="A121" s="15" t="s">
        <x:v>10</x:v>
      </x:c>
      <x:c r="B121" s="14" t="s">
        <x:v>137</x:v>
      </x:c>
      <x:c r="C121" s="6">
        <x:v>1</x:v>
      </x:c>
      <x:c r="D121" s="14" t="s">
        <x:v>41</x:v>
      </x:c>
      <x:c r="E121" s="1"/>
      <x:c r="F121" s="7">
        <x:f>'2026.9.8'!K119</x:f>
        <x:v>0</x:v>
      </x:c>
      <x:c r="G121" s="1">
        <x:f>J8*C121</x:f>
        <x:v>0</x:v>
      </x:c>
      <x:c r="H121" s="1"/>
      <x:c r="I121" s="1"/>
      <x:c r="J121" s="12">
        <x:f>F121+I121-G121-H121</x:f>
        <x:v>0</x:v>
      </x:c>
      <x:c r="K121" s="13">
        <x:f>J121/C121</x:f>
        <x:v>0</x:v>
      </x:c>
      <x:c r="L121" s="25">
        <x:f>IF(K121&lt;=10,119,"")</x:f>
        <x:v>119</x:v>
      </x:c>
      <x:c r="N121" s="1"/>
    </x:row>
    <x:row r="122" spans="1:14" customFormat="1" ht="18" hidden="1" customHeight="1">
      <x:c r="A122" s="15" t="s">
        <x:v>10</x:v>
      </x:c>
      <x:c r="B122" s="14" t="s">
        <x:v>143</x:v>
      </x:c>
      <x:c r="C122" s="6">
        <x:v>1</x:v>
      </x:c>
      <x:c r="D122" s="14" t="s">
        <x:v>47</x:v>
      </x:c>
      <x:c r="E122" s="1" t="s">
        <x:v>113</x:v>
      </x:c>
      <x:c r="F122" s="7">
        <x:f>'2026.9.8'!K120</x:f>
        <x:v>9</x:v>
      </x:c>
      <x:c r="G122" s="1">
        <x:f>J9*C122</x:f>
        <x:v>2</x:v>
      </x:c>
      <x:c r="H122" s="1"/>
      <x:c r="I122" s="1"/>
      <x:c r="J122" s="12">
        <x:f>F122+I122-G122-H122</x:f>
        <x:v>7</x:v>
      </x:c>
      <x:c r="K122" s="13">
        <x:f>J122/C122</x:f>
        <x:v>7</x:v>
      </x:c>
      <x:c r="L122" s="25">
        <x:f>IF(K122&lt;=10,119,"")</x:f>
        <x:v>119</x:v>
      </x:c>
      <x:c r="N122" s="1"/>
    </x:row>
    <x:row r="123" spans="1:14" customFormat="1" ht="18" hidden="1" customHeight="1">
      <x:c r="A123" s="15" t="s">
        <x:v>10</x:v>
      </x:c>
      <x:c r="B123" s="14" t="s">
        <x:v>143</x:v>
      </x:c>
      <x:c r="C123" s="6">
        <x:v>1</x:v>
      </x:c>
      <x:c r="D123" s="9" t="s">
        <x:v>73</x:v>
      </x:c>
      <x:c r="E123" s="1" t="s">
        <x:v>105</x:v>
      </x:c>
      <x:c r="F123" s="7">
        <x:f>'2026.9.8'!K121</x:f>
        <x:v>5</x:v>
      </x:c>
      <x:c r="G123" s="1">
        <x:f>J10*C123</x:f>
        <x:v>3</x:v>
      </x:c>
      <x:c r="H123" s="1"/>
      <x:c r="I123" s="1"/>
      <x:c r="J123" s="12">
        <x:f>F123+I123-G123-H123</x:f>
        <x:v>2</x:v>
      </x:c>
      <x:c r="K123" s="13">
        <x:f>J123/C123</x:f>
        <x:v>2</x:v>
      </x:c>
      <x:c r="L123" s="25">
        <x:f>IF(K123&lt;=10,119,"")</x:f>
        <x:v>119</x:v>
      </x:c>
      <x:c r="N123" s="1"/>
    </x:row>
    <x:row r="124" spans="1:14" customFormat="1" ht="18" hidden="1" customHeight="1">
      <x:c r="A124" s="15" t="s">
        <x:v>34</x:v>
      </x:c>
      <x:c r="B124" s="14" t="s">
        <x:v>181</x:v>
      </x:c>
      <x:c r="C124" s="6">
        <x:v>1</x:v>
      </x:c>
      <x:c r="D124" s="14" t="s">
        <x:v>268</x:v>
      </x:c>
      <x:c r="E124" s="1" t="s">
        <x:v>207</x:v>
      </x:c>
      <x:c r="F124" s="7">
        <x:f>'2026.9.8'!K122</x:f>
        <x:v>46</x:v>
      </x:c>
      <x:c r="G124" s="1">
        <x:f>SUM(H5:H20)*C124</x:f>
        <x:v>0</x:v>
      </x:c>
      <x:c r="H124" s="1"/>
      <x:c r="I124" s="1"/>
      <x:c r="J124" s="12">
        <x:f>F124+I124-G124-H124</x:f>
        <x:v>46</x:v>
      </x:c>
      <x:c r="K124" s="13">
        <x:f>J124/C124</x:f>
        <x:v>46</x:v>
      </x:c>
      <x:c r="L124" s="25" t="str">
        <x:f>IF(K124&lt;=10,119,"")</x:f>
        <x:v/>
      </x:c>
      <x:c r="N124" s="1"/>
    </x:row>
    <x:row r="125" spans="1:14" customFormat="1" ht="18" hidden="1" customHeight="1">
      <x:c r="A125" s="15" t="s">
        <x:v>34</x:v>
      </x:c>
      <x:c r="B125" s="14" t="s">
        <x:v>181</x:v>
      </x:c>
      <x:c r="C125" s="6">
        <x:v>1</x:v>
      </x:c>
      <x:c r="D125" s="14" t="s">
        <x:v>70</x:v>
      </x:c>
      <x:c r="E125" s="1" t="s">
        <x:v>190</x:v>
      </x:c>
      <x:c r="F125" s="7">
        <x:f>'2026.9.8'!K123</x:f>
        <x:v>78</x:v>
      </x:c>
      <x:c r="G125" s="1">
        <x:f>SUM(H22)*C125</x:f>
        <x:v>0</x:v>
      </x:c>
      <x:c r="H125" s="1"/>
      <x:c r="I125" s="1"/>
      <x:c r="J125" s="12">
        <x:f>F125+I125-G125-H125</x:f>
        <x:v>78</x:v>
      </x:c>
      <x:c r="K125" s="13">
        <x:f>J125/C125</x:f>
        <x:v>78</x:v>
      </x:c>
      <x:c r="L125" s="25" t="str">
        <x:f>IF(K125&lt;=10,119,"")</x:f>
        <x:v/>
      </x:c>
      <x:c r="N125" s="1"/>
    </x:row>
    <x:row r="126" spans="1:14" customFormat="1" ht="18" hidden="1" customHeight="1">
      <x:c r="A126" s="15" t="s">
        <x:v>34</x:v>
      </x:c>
      <x:c r="B126" s="14" t="s">
        <x:v>181</x:v>
      </x:c>
      <x:c r="C126" s="6">
        <x:v>1</x:v>
      </x:c>
      <x:c r="D126" s="14" t="s">
        <x:v>276</x:v>
      </x:c>
      <x:c r="E126" s="1" t="s">
        <x:v>111</x:v>
      </x:c>
      <x:c r="F126" s="7">
        <x:f>'2026.9.8'!K124</x:f>
        <x:v>0</x:v>
      </x:c>
      <x:c r="G126" s="1">
        <x:f>SUM(H23:H24)*C126</x:f>
        <x:v>0</x:v>
      </x:c>
      <x:c r="H126" s="1"/>
      <x:c r="I126" s="1"/>
      <x:c r="J126" s="12">
        <x:f>F126+I126-G126-H126</x:f>
        <x:v>0</x:v>
      </x:c>
      <x:c r="K126" s="13">
        <x:f>J126/C126</x:f>
        <x:v>0</x:v>
      </x:c>
      <x:c r="L126" s="25">
        <x:f>IF(K126&lt;=10,119,"")</x:f>
        <x:v>119</x:v>
      </x:c>
      <x:c r="N126" s="1"/>
    </x:row>
    <x:row r="127" spans="1:14" customFormat="1" ht="18" hidden="1" customHeight="1">
      <x:c r="A127" s="15" t="s">
        <x:v>34</x:v>
      </x:c>
      <x:c r="B127" s="14" t="s">
        <x:v>181</x:v>
      </x:c>
      <x:c r="C127" s="6">
        <x:v>1</x:v>
      </x:c>
      <x:c r="D127" s="14" t="s">
        <x:v>11</x:v>
      </x:c>
      <x:c r="E127" s="1" t="s">
        <x:v>115</x:v>
      </x:c>
      <x:c r="F127" s="7">
        <x:f>'2026.9.8'!K125</x:f>
        <x:v>2</x:v>
      </x:c>
      <x:c r="G127" s="1">
        <x:f>SUM(H25:H26)*C127</x:f>
        <x:v>0</x:v>
      </x:c>
      <x:c r="H127" s="1"/>
      <x:c r="I127" s="1"/>
      <x:c r="J127" s="12">
        <x:f>F127+I127-G127-H127</x:f>
        <x:v>2</x:v>
      </x:c>
      <x:c r="K127" s="13">
        <x:f>J127/C127</x:f>
        <x:v>2</x:v>
      </x:c>
      <x:c r="L127" s="25">
        <x:f>IF(K127&lt;=10,119,"")</x:f>
        <x:v>119</x:v>
      </x:c>
      <x:c r="N127" s="1"/>
    </x:row>
    <x:row r="128" spans="1:14" customFormat="1" ht="18" hidden="1" customHeight="1">
      <x:c r="A128" s="15" t="s">
        <x:v>29</x:v>
      </x:c>
      <x:c r="B128" s="14" t="s">
        <x:v>137</x:v>
      </x:c>
      <x:c r="C128" s="1">
        <x:v>1</x:v>
      </x:c>
      <x:c r="D128" s="14" t="s">
        <x:v>244</x:v>
      </x:c>
      <x:c r="E128" s="1" t="s">
        <x:v>227</x:v>
      </x:c>
      <x:c r="F128" s="7">
        <x:f>'2026.9.8'!K126</x:f>
        <x:v>0</x:v>
      </x:c>
      <x:c r="G128" s="1">
        <x:f>H23*C128</x:f>
        <x:v>0</x:v>
      </x:c>
      <x:c r="H128" s="1"/>
      <x:c r="I128" s="1"/>
      <x:c r="J128" s="12">
        <x:f>F128+I128-G128-H128</x:f>
        <x:v>0</x:v>
      </x:c>
      <x:c r="K128" s="13">
        <x:f>J128/C128</x:f>
        <x:v>0</x:v>
      </x:c>
      <x:c r="L128" s="25">
        <x:f>IF(K128&lt;=10,119,"")</x:f>
        <x:v>119</x:v>
      </x:c>
      <x:c r="N128" s="1"/>
    </x:row>
    <x:row r="129" spans="1:14" customFormat="1" ht="18" hidden="1" customHeight="1">
      <x:c r="A129" s="15" t="s">
        <x:v>29</x:v>
      </x:c>
      <x:c r="B129" s="14" t="s">
        <x:v>137</x:v>
      </x:c>
      <x:c r="C129" s="1">
        <x:v>1</x:v>
      </x:c>
      <x:c r="D129" s="14" t="s">
        <x:v>247</x:v>
      </x:c>
      <x:c r="E129" s="1" t="s">
        <x:v>195</x:v>
      </x:c>
      <x:c r="F129" s="7">
        <x:f>'2026.9.8'!K127</x:f>
        <x:v>0</x:v>
      </x:c>
      <x:c r="G129" s="1">
        <x:f>H24*C129</x:f>
        <x:v>0</x:v>
      </x:c>
      <x:c r="H129" s="1"/>
      <x:c r="I129" s="1"/>
      <x:c r="J129" s="12">
        <x:f>F129+I129-G129-H129</x:f>
        <x:v>0</x:v>
      </x:c>
      <x:c r="K129" s="13">
        <x:f>J129/C129</x:f>
        <x:v>0</x:v>
      </x:c>
      <x:c r="L129" s="25">
        <x:f>IF(K129&lt;=10,119,"")</x:f>
        <x:v>119</x:v>
      </x:c>
      <x:c r="N129" s="1"/>
    </x:row>
    <x:row r="130" spans="1:14" ht="18" hidden="1" customHeight="1">
      <x:c r="A130" s="15" t="s">
        <x:v>29</x:v>
      </x:c>
      <x:c r="B130" s="14" t="s">
        <x:v>137</x:v>
      </x:c>
      <x:c r="C130" s="1">
        <x:v>1</x:v>
      </x:c>
      <x:c r="D130" s="9" t="s">
        <x:v>83</x:v>
      </x:c>
      <x:c r="E130" s="1" t="s">
        <x:v>126</x:v>
      </x:c>
      <x:c r="F130" s="7">
        <x:f>'2026.9.8'!K128</x:f>
        <x:v>0</x:v>
      </x:c>
      <x:c r="G130" s="1">
        <x:f>J7*C130</x:f>
        <x:v>0</x:v>
      </x:c>
      <x:c r="J130" s="12">
        <x:f>F130+I130-G130-H130</x:f>
        <x:v>0</x:v>
      </x:c>
      <x:c r="K130" s="13">
        <x:f>J130/C130</x:f>
        <x:v>0</x:v>
      </x:c>
      <x:c r="L130" s="25">
        <x:f>IF(K130&lt;=10,119,"")</x:f>
        <x:v>119</x:v>
      </x:c>
      <x:c r="N130"/>
    </x:row>
    <x:row r="131" spans="1:14" ht="18" hidden="1" customHeight="1">
      <x:c r="A131" s="15" t="s">
        <x:v>29</x:v>
      </x:c>
      <x:c r="B131" s="14" t="s">
        <x:v>137</x:v>
      </x:c>
      <x:c r="C131" s="1">
        <x:v>1</x:v>
      </x:c>
      <x:c r="D131" s="9" t="s">
        <x:v>41</x:v>
      </x:c>
      <x:c r="E131" s="1" t="s">
        <x:v>131</x:v>
      </x:c>
      <x:c r="F131" s="7">
        <x:f>'2026.9.8'!K129</x:f>
        <x:v>3</x:v>
      </x:c>
      <x:c r="G131" s="1">
        <x:f>J8*C131</x:f>
        <x:v>0</x:v>
      </x:c>
      <x:c r="J131" s="12">
        <x:f>F131+I131-G131-H131</x:f>
        <x:v>3</x:v>
      </x:c>
      <x:c r="K131" s="13">
        <x:f>J131/C131</x:f>
        <x:v>3</x:v>
      </x:c>
      <x:c r="L131" s="25">
        <x:f>IF(K131&lt;=10,119,"")</x:f>
        <x:v>119</x:v>
      </x:c>
      <x:c r="N131"/>
    </x:row>
    <x:row r="132" spans="1:14" ht="18" hidden="1" customHeight="1">
      <x:c r="A132" s="15" t="s">
        <x:v>29</x:v>
      </x:c>
      <x:c r="B132" s="14" t="s">
        <x:v>137</x:v>
      </x:c>
      <x:c r="C132" s="1">
        <x:v>1</x:v>
      </x:c>
      <x:c r="D132" s="9" t="s">
        <x:v>47</x:v>
      </x:c>
      <x:c r="E132" s="1" t="s">
        <x:v>136</x:v>
      </x:c>
      <x:c r="F132" s="7">
        <x:f>'2026.9.8'!K130</x:f>
        <x:v>10</x:v>
      </x:c>
      <x:c r="G132" s="1">
        <x:f>J9*C132</x:f>
        <x:v>2</x:v>
      </x:c>
      <x:c r="J132" s="12">
        <x:f>F132+I132-G132-H132</x:f>
        <x:v>8</x:v>
      </x:c>
      <x:c r="K132" s="13">
        <x:f>J132/C132</x:f>
        <x:v>8</x:v>
      </x:c>
      <x:c r="L132" s="25">
        <x:f>IF(K132&lt;=10,119,"")</x:f>
        <x:v>119</x:v>
      </x:c>
      <x:c r="N132"/>
    </x:row>
    <x:row r="133" spans="1:12" ht="18" hidden="1" customHeight="1">
      <x:c r="A133" s="15" t="s">
        <x:v>29</x:v>
      </x:c>
      <x:c r="B133" s="14" t="s">
        <x:v>137</x:v>
      </x:c>
      <x:c r="C133" s="1">
        <x:v>1</x:v>
      </x:c>
      <x:c r="D133" s="9" t="s">
        <x:v>73</x:v>
      </x:c>
      <x:c r="E133" s="1" t="s">
        <x:v>136</x:v>
      </x:c>
      <x:c r="F133" s="7">
        <x:f>'2026.9.8'!K131</x:f>
        <x:v>4</x:v>
      </x:c>
      <x:c r="G133" s="1">
        <x:f>J10*C133</x:f>
        <x:v>3</x:v>
      </x:c>
      <x:c r="I133" s="1">
        <x:v>1</x:v>
      </x:c>
      <x:c r="J133" s="12">
        <x:f>F133+I133-G133-H133</x:f>
        <x:v>2</x:v>
      </x:c>
      <x:c r="K133" s="13">
        <x:f>J133/C133</x:f>
        <x:v>2</x:v>
      </x:c>
      <x:c r="L133" s="25">
        <x:f>IF(K133&lt;=10,119,"")</x:f>
        <x:v>119</x:v>
      </x:c>
    </x:row>
    <x:row r="134" spans="1:14" customFormat="1" ht="18" hidden="1" customHeight="1">
      <x:c r="A134" s="15" t="s">
        <x:v>81</x:v>
      </x:c>
      <x:c r="B134" s="14" t="s">
        <x:v>143</x:v>
      </x:c>
      <x:c r="C134" s="1">
        <x:v>1</x:v>
      </x:c>
      <x:c r="D134" s="14" t="s">
        <x:v>244</x:v>
      </x:c>
      <x:c r="E134" s="1" t="s">
        <x:v>182</x:v>
      </x:c>
      <x:c r="F134" s="7">
        <x:f>'2026.9.8'!K132</x:f>
        <x:v>0</x:v>
      </x:c>
      <x:c r="G134" s="1">
        <x:f>H23*C134</x:f>
        <x:v>0</x:v>
      </x:c>
      <x:c r="H134" s="1"/>
      <x:c r="I134" s="1"/>
      <x:c r="J134" s="12">
        <x:f>F134+I134-G134-H134</x:f>
        <x:v>0</x:v>
      </x:c>
      <x:c r="K134" s="13">
        <x:f>J134/C134</x:f>
        <x:v>0</x:v>
      </x:c>
      <x:c r="L134" s="25">
        <x:f>IF(K134&lt;=10,119,"")</x:f>
        <x:v>119</x:v>
      </x:c>
      <x:c r="N134" s="1"/>
    </x:row>
    <x:row r="135" spans="1:14" customFormat="1" ht="18" hidden="1" customHeight="1">
      <x:c r="A135" s="15" t="s">
        <x:v>81</x:v>
      </x:c>
      <x:c r="B135" s="14" t="s">
        <x:v>143</x:v>
      </x:c>
      <x:c r="C135" s="1">
        <x:v>1</x:v>
      </x:c>
      <x:c r="D135" s="14" t="s">
        <x:v>247</x:v>
      </x:c>
      <x:c r="E135" s="1" t="s">
        <x:v>193</x:v>
      </x:c>
      <x:c r="F135" s="7">
        <x:f>'2026.9.8'!K133</x:f>
        <x:v>0</x:v>
      </x:c>
      <x:c r="G135" s="1">
        <x:f>H24*C135</x:f>
        <x:v>0</x:v>
      </x:c>
      <x:c r="H135" s="1"/>
      <x:c r="I135" s="1"/>
      <x:c r="J135" s="12">
        <x:f>F135+I135-G135-H135</x:f>
        <x:v>0</x:v>
      </x:c>
      <x:c r="K135" s="13">
        <x:f>J135/C135</x:f>
        <x:v>0</x:v>
      </x:c>
      <x:c r="L135" s="25">
        <x:f>IF(K135&lt;=10,119,"")</x:f>
        <x:v>119</x:v>
      </x:c>
      <x:c r="N135" s="1"/>
    </x:row>
    <x:row r="136" spans="1:14" ht="18" hidden="1" customHeight="1">
      <x:c r="A136" s="15" t="s">
        <x:v>81</x:v>
      </x:c>
      <x:c r="B136" s="14" t="s">
        <x:v>172</x:v>
      </x:c>
      <x:c r="C136" s="1">
        <x:v>1</x:v>
      </x:c>
      <x:c r="D136" s="9" t="s">
        <x:v>83</x:v>
      </x:c>
      <x:c r="F136" s="7">
        <x:f>'2026.9.8'!K134</x:f>
        <x:v>0</x:v>
      </x:c>
      <x:c r="G136" s="1">
        <x:f>J7*C136</x:f>
        <x:v>0</x:v>
      </x:c>
      <x:c r="J136" s="12">
        <x:f>F136+I136-G136-H136</x:f>
        <x:v>0</x:v>
      </x:c>
      <x:c r="K136" s="13">
        <x:f>J136/C136</x:f>
        <x:v>0</x:v>
      </x:c>
      <x:c r="L136" s="25">
        <x:f>IF(K136&lt;=10,119,"")</x:f>
        <x:v>119</x:v>
      </x:c>
      <x:c r="N136"/>
    </x:row>
    <x:row r="137" spans="1:14" ht="18" hidden="1" customHeight="1">
      <x:c r="A137" s="15" t="s">
        <x:v>81</x:v>
      </x:c>
      <x:c r="B137" s="14" t="s">
        <x:v>172</x:v>
      </x:c>
      <x:c r="C137" s="1">
        <x:v>1</x:v>
      </x:c>
      <x:c r="D137" s="9" t="s">
        <x:v>41</x:v>
      </x:c>
      <x:c r="F137" s="7">
        <x:f>'2026.9.8'!K135</x:f>
        <x:v>0</x:v>
      </x:c>
      <x:c r="G137" s="1">
        <x:f>J8*C137</x:f>
        <x:v>0</x:v>
      </x:c>
      <x:c r="J137" s="12">
        <x:f>F137+I137-G137-H137</x:f>
        <x:v>0</x:v>
      </x:c>
      <x:c r="K137" s="13">
        <x:f>J137/C137</x:f>
        <x:v>0</x:v>
      </x:c>
      <x:c r="L137" s="25">
        <x:f>IF(K137&lt;=10,119,"")</x:f>
        <x:v>119</x:v>
      </x:c>
      <x:c r="N137"/>
    </x:row>
    <x:row r="138" spans="1:14" ht="18" hidden="1" customHeight="1">
      <x:c r="A138" s="15" t="s">
        <x:v>81</x:v>
      </x:c>
      <x:c r="B138" s="14" t="s">
        <x:v>172</x:v>
      </x:c>
      <x:c r="C138" s="1">
        <x:v>1</x:v>
      </x:c>
      <x:c r="D138" s="9" t="s">
        <x:v>47</x:v>
      </x:c>
      <x:c r="F138" s="7">
        <x:f>'2026.9.8'!K136</x:f>
        <x:v>9</x:v>
      </x:c>
      <x:c r="G138" s="1">
        <x:f>J9*C138</x:f>
        <x:v>2</x:v>
      </x:c>
      <x:c r="J138" s="12">
        <x:f>F138+I138-G138-H138</x:f>
        <x:v>7</x:v>
      </x:c>
      <x:c r="K138" s="13">
        <x:f>J138/C138</x:f>
        <x:v>7</x:v>
      </x:c>
      <x:c r="L138" s="25">
        <x:f>IF(K138&lt;=10,119,"")</x:f>
        <x:v>119</x:v>
      </x:c>
      <x:c r="N138"/>
    </x:row>
    <x:row r="139" spans="1:12" ht="18" hidden="1" customHeight="1">
      <x:c r="A139" s="15" t="s">
        <x:v>81</x:v>
      </x:c>
      <x:c r="B139" s="14" t="s">
        <x:v>172</x:v>
      </x:c>
      <x:c r="C139" s="1">
        <x:v>1</x:v>
      </x:c>
      <x:c r="D139" s="9" t="s">
        <x:v>73</x:v>
      </x:c>
      <x:c r="F139" s="7">
        <x:f>'2026.9.8'!K137</x:f>
        <x:v>6</x:v>
      </x:c>
      <x:c r="G139" s="1">
        <x:f>J10*C139</x:f>
        <x:v>3</x:v>
      </x:c>
      <x:c r="J139" s="12">
        <x:f>F139+I139-G139-H139</x:f>
        <x:v>3</x:v>
      </x:c>
      <x:c r="K139" s="13">
        <x:f>J139/C139</x:f>
        <x:v>3</x:v>
      </x:c>
      <x:c r="L139" s="25">
        <x:f>IF(K139&lt;=10,119,"")</x:f>
        <x:v>119</x:v>
      </x:c>
    </x:row>
    <x:row r="140" spans="1:14" ht="18" hidden="1" customHeight="1">
      <x:c r="A140" s="15" t="s">
        <x:v>13</x:v>
      </x:c>
      <x:c r="B140" s="14" t="s">
        <x:v>137</x:v>
      </x:c>
      <x:c r="C140" s="1">
        <x:v>1</x:v>
      </x:c>
      <x:c r="D140" s="9" t="s">
        <x:v>83</x:v>
      </x:c>
      <x:c r="E140" s="1" t="s">
        <x:v>214</x:v>
      </x:c>
      <x:c r="F140" s="7">
        <x:f>'2026.9.8'!K138</x:f>
        <x:v>1</x:v>
      </x:c>
      <x:c r="G140" s="1">
        <x:f>J7*C140</x:f>
        <x:v>0</x:v>
      </x:c>
      <x:c r="J140" s="12">
        <x:f>F140+I140-G140-H140</x:f>
        <x:v>1</x:v>
      </x:c>
      <x:c r="K140" s="13">
        <x:f>J140/C140</x:f>
        <x:v>1</x:v>
      </x:c>
      <x:c r="L140" s="25">
        <x:f>IF(K140&lt;=10,119,"")</x:f>
        <x:v>119</x:v>
      </x:c>
      <x:c r="N140"/>
    </x:row>
    <x:row r="141" spans="1:14" ht="18" hidden="1" customHeight="1">
      <x:c r="A141" s="15" t="s">
        <x:v>13</x:v>
      </x:c>
      <x:c r="B141" s="14" t="s">
        <x:v>137</x:v>
      </x:c>
      <x:c r="C141" s="1">
        <x:v>1</x:v>
      </x:c>
      <x:c r="D141" s="9" t="s">
        <x:v>41</x:v>
      </x:c>
      <x:c r="E141" s="1" t="s">
        <x:v>191</x:v>
      </x:c>
      <x:c r="F141" s="7">
        <x:f>'2026.9.8'!K139</x:f>
        <x:v>1</x:v>
      </x:c>
      <x:c r="G141" s="1">
        <x:f>J8*C141</x:f>
        <x:v>0</x:v>
      </x:c>
      <x:c r="J141" s="12">
        <x:f>F141+I141-G141-H141</x:f>
        <x:v>1</x:v>
      </x:c>
      <x:c r="K141" s="13">
        <x:f>J141/C141</x:f>
        <x:v>1</x:v>
      </x:c>
      <x:c r="L141" s="25">
        <x:f>IF(K141&lt;=10,119,"")</x:f>
        <x:v>119</x:v>
      </x:c>
      <x:c r="N141"/>
    </x:row>
    <x:row r="142" spans="1:14" ht="18" hidden="1" customHeight="1">
      <x:c r="A142" s="15" t="s">
        <x:v>13</x:v>
      </x:c>
      <x:c r="B142" s="14" t="s">
        <x:v>137</x:v>
      </x:c>
      <x:c r="C142" s="1">
        <x:v>1</x:v>
      </x:c>
      <x:c r="D142" s="9" t="s">
        <x:v>47</x:v>
      </x:c>
      <x:c r="E142" s="1" t="s">
        <x:v>218</x:v>
      </x:c>
      <x:c r="F142" s="7">
        <x:f>'2026.9.8'!K140</x:f>
        <x:v>8</x:v>
      </x:c>
      <x:c r="G142" s="1">
        <x:f>J9*C142</x:f>
        <x:v>2</x:v>
      </x:c>
      <x:c r="J142" s="12">
        <x:f>F142+I142-G142-H142</x:f>
        <x:v>6</x:v>
      </x:c>
      <x:c r="K142" s="13">
        <x:f>J142/C142</x:f>
        <x:v>6</x:v>
      </x:c>
      <x:c r="L142" s="25">
        <x:f>IF(K142&lt;=10,119,"")</x:f>
        <x:v>119</x:v>
      </x:c>
      <x:c r="N142"/>
    </x:row>
    <x:row r="143" spans="1:14" customFormat="1" ht="18" hidden="1" customHeight="1">
      <x:c r="A143" s="15" t="s">
        <x:v>144</x:v>
      </x:c>
      <x:c r="B143" s="14" t="s">
        <x:v>62</x:v>
      </x:c>
      <x:c r="C143" s="1">
        <x:v>1</x:v>
      </x:c>
      <x:c r="D143" s="14" t="s">
        <x:v>244</x:v>
      </x:c>
      <x:c r="E143" s="1" t="s">
        <x:v>199</x:v>
      </x:c>
      <x:c r="F143" s="7">
        <x:f>'2026.9.8'!K141</x:f>
        <x:v>0</x:v>
      </x:c>
      <x:c r="G143" s="1">
        <x:f>H23*C143</x:f>
        <x:v>0</x:v>
      </x:c>
      <x:c r="H143" s="1"/>
      <x:c r="I143" s="1"/>
      <x:c r="J143" s="12">
        <x:f>F143+I143-G143-H143</x:f>
        <x:v>0</x:v>
      </x:c>
      <x:c r="K143" s="13">
        <x:f>J143/C143</x:f>
        <x:v>0</x:v>
      </x:c>
      <x:c r="L143" s="25">
        <x:f>IF(K143&lt;=10,119,"")</x:f>
        <x:v>119</x:v>
      </x:c>
      <x:c r="N143" s="1"/>
    </x:row>
    <x:row r="144" spans="1:14" customFormat="1" ht="18" hidden="1" customHeight="1">
      <x:c r="A144" s="15" t="s">
        <x:v>144</x:v>
      </x:c>
      <x:c r="B144" s="14" t="s">
        <x:v>62</x:v>
      </x:c>
      <x:c r="C144" s="1">
        <x:v>1</x:v>
      </x:c>
      <x:c r="D144" s="14" t="s">
        <x:v>247</x:v>
      </x:c>
      <x:c r="E144" s="1" t="s">
        <x:v>186</x:v>
      </x:c>
      <x:c r="F144" s="7">
        <x:f>'2026.9.8'!K142</x:f>
        <x:v>0</x:v>
      </x:c>
      <x:c r="G144" s="1">
        <x:f>H24*C144</x:f>
        <x:v>0</x:v>
      </x:c>
      <x:c r="H144" s="1"/>
      <x:c r="I144" s="1"/>
      <x:c r="J144" s="12">
        <x:f>F144+I144-G144-H144</x:f>
        <x:v>0</x:v>
      </x:c>
      <x:c r="K144" s="13">
        <x:f>J144/C144</x:f>
        <x:v>0</x:v>
      </x:c>
      <x:c r="L144" s="25">
        <x:f>IF(K144&lt;=10,119,"")</x:f>
        <x:v>119</x:v>
      </x:c>
      <x:c r="N144" s="1"/>
    </x:row>
    <x:row r="145" spans="1:14" ht="18" hidden="1" customHeight="1">
      <x:c r="A145" s="15" t="s">
        <x:v>144</x:v>
      </x:c>
      <x:c r="B145" s="14" t="s">
        <x:v>62</x:v>
      </x:c>
      <x:c r="C145" s="1">
        <x:v>1</x:v>
      </x:c>
      <x:c r="D145" s="9" t="s">
        <x:v>83</x:v>
      </x:c>
      <x:c r="E145" s="1" t="s">
        <x:v>68</x:v>
      </x:c>
      <x:c r="F145" s="7">
        <x:f>'2026.9.8'!K143</x:f>
        <x:v>35</x:v>
      </x:c>
      <x:c r="G145" s="1">
        <x:f>J7*C145</x:f>
        <x:v>0</x:v>
      </x:c>
      <x:c r="J145" s="12">
        <x:f>F145+I145-G145-H145</x:f>
        <x:v>35</x:v>
      </x:c>
      <x:c r="K145" s="13">
        <x:f>J145/C145</x:f>
        <x:v>35</x:v>
      </x:c>
      <x:c r="L145" s="25" t="str">
        <x:f>IF(K145&lt;=10,119,"")</x:f>
        <x:v/>
      </x:c>
      <x:c r="N145"/>
    </x:row>
    <x:row r="146" spans="1:14" ht="18" hidden="1" customHeight="1">
      <x:c r="A146" s="15" t="s">
        <x:v>144</x:v>
      </x:c>
      <x:c r="B146" s="14" t="s">
        <x:v>62</x:v>
      </x:c>
      <x:c r="C146" s="1">
        <x:v>1</x:v>
      </x:c>
      <x:c r="D146" s="9" t="s">
        <x:v>41</x:v>
      </x:c>
      <x:c r="E146" s="1" t="s">
        <x:v>107</x:v>
      </x:c>
      <x:c r="F146" s="7">
        <x:f>'2026.9.8'!K144</x:f>
        <x:v>0</x:v>
      </x:c>
      <x:c r="G146" s="1">
        <x:f>J8*C146</x:f>
        <x:v>0</x:v>
      </x:c>
      <x:c r="J146" s="12">
        <x:f>F146+I146-G146-H146</x:f>
        <x:v>0</x:v>
      </x:c>
      <x:c r="K146" s="13">
        <x:f>J146/C146</x:f>
        <x:v>0</x:v>
      </x:c>
      <x:c r="L146" s="25">
        <x:f>IF(K146&lt;=10,119,"")</x:f>
        <x:v>119</x:v>
      </x:c>
      <x:c r="N146"/>
    </x:row>
    <x:row r="147" spans="1:14" ht="18" hidden="1" customHeight="1">
      <x:c r="A147" s="15" t="s">
        <x:v>144</x:v>
      </x:c>
      <x:c r="B147" s="14" t="s">
        <x:v>62</x:v>
      </x:c>
      <x:c r="C147" s="1">
        <x:v>1</x:v>
      </x:c>
      <x:c r="D147" s="9" t="s">
        <x:v>47</x:v>
      </x:c>
      <x:c r="E147" s="1" t="s">
        <x:v>59</x:v>
      </x:c>
      <x:c r="F147" s="7">
        <x:f>'2026.9.8'!K145</x:f>
        <x:v>44</x:v>
      </x:c>
      <x:c r="G147" s="1">
        <x:f>J9*C147</x:f>
        <x:v>2</x:v>
      </x:c>
      <x:c r="J147" s="12">
        <x:f>F147+I147-G147-H147</x:f>
        <x:v>42</x:v>
      </x:c>
      <x:c r="K147" s="13">
        <x:f>J147/C147</x:f>
        <x:v>42</x:v>
      </x:c>
      <x:c r="L147" s="25" t="str">
        <x:f>IF(K147&lt;=10,119,"")</x:f>
        <x:v/>
      </x:c>
      <x:c r="N147"/>
    </x:row>
    <x:row r="148" spans="1:12" ht="18" hidden="1" customHeight="1">
      <x:c r="A148" s="15" t="s">
        <x:v>144</x:v>
      </x:c>
      <x:c r="B148" s="14" t="s">
        <x:v>62</x:v>
      </x:c>
      <x:c r="C148" s="1">
        <x:v>1</x:v>
      </x:c>
      <x:c r="D148" s="9" t="s">
        <x:v>73</x:v>
      </x:c>
      <x:c r="E148" s="1" t="s">
        <x:v>56</x:v>
      </x:c>
      <x:c r="F148" s="7">
        <x:f>'2026.9.8'!K146</x:f>
        <x:v>35</x:v>
      </x:c>
      <x:c r="G148" s="1">
        <x:f>J10*C148</x:f>
        <x:v>3</x:v>
      </x:c>
      <x:c r="J148" s="12">
        <x:f>F148+I148-G148-H148</x:f>
        <x:v>32</x:v>
      </x:c>
      <x:c r="K148" s="13">
        <x:f>J148/C148</x:f>
        <x:v>32</x:v>
      </x:c>
      <x:c r="L148" s="25" t="str">
        <x:f>IF(K148&lt;=10,119,"")</x:f>
        <x:v/>
      </x:c>
    </x:row>
    <x:row r="149" spans="1:14" customFormat="1" ht="18" hidden="1" customHeight="1">
      <x:c r="A149" s="15" t="s">
        <x:v>57</x:v>
      </x:c>
      <x:c r="B149" s="14" t="s">
        <x:v>112</x:v>
      </x:c>
      <x:c r="C149" s="1">
        <x:v>1</x:v>
      </x:c>
      <x:c r="D149" s="14" t="s">
        <x:v>244</x:v>
      </x:c>
      <x:c r="E149" s="1" t="s">
        <x:v>146</x:v>
      </x:c>
      <x:c r="F149" s="7">
        <x:f>'2026.9.8'!K147</x:f>
        <x:v>4</x:v>
      </x:c>
      <x:c r="G149" s="1">
        <x:f>H23*C149</x:f>
        <x:v>0</x:v>
      </x:c>
      <x:c r="H149" s="1"/>
      <x:c r="I149" s="1"/>
      <x:c r="J149" s="12">
        <x:f>F149+I149-G149-H149</x:f>
        <x:v>4</x:v>
      </x:c>
      <x:c r="K149" s="13">
        <x:f>J149/C149</x:f>
        <x:v>4</x:v>
      </x:c>
      <x:c r="L149" s="25">
        <x:f>IF(K149&lt;=10,119,"")</x:f>
        <x:v>119</x:v>
      </x:c>
      <x:c r="N149" s="1"/>
    </x:row>
    <x:row r="150" spans="1:14" customFormat="1" ht="18" hidden="1" customHeight="1">
      <x:c r="A150" s="15" t="s">
        <x:v>57</x:v>
      </x:c>
      <x:c r="B150" s="14" t="s">
        <x:v>112</x:v>
      </x:c>
      <x:c r="C150" s="1">
        <x:v>1</x:v>
      </x:c>
      <x:c r="D150" s="14" t="s">
        <x:v>247</x:v>
      </x:c>
      <x:c r="E150" s="1" t="s">
        <x:v>145</x:v>
      </x:c>
      <x:c r="F150" s="7">
        <x:f>'2026.9.8'!K148</x:f>
        <x:v>14</x:v>
      </x:c>
      <x:c r="G150" s="1">
        <x:f>H24*C150</x:f>
        <x:v>0</x:v>
      </x:c>
      <x:c r="H150" s="1"/>
      <x:c r="I150" s="1"/>
      <x:c r="J150" s="12">
        <x:f>F150+I150-G150-H150</x:f>
        <x:v>14</x:v>
      </x:c>
      <x:c r="K150" s="13">
        <x:f>J150/C150</x:f>
        <x:v>14</x:v>
      </x:c>
      <x:c r="L150" s="25" t="str">
        <x:f>IF(K150&lt;=10,119,"")</x:f>
        <x:v/>
      </x:c>
      <x:c r="N150" s="1"/>
    </x:row>
    <x:row r="151" spans="1:14" ht="18" hidden="1" customHeight="1">
      <x:c r="A151" s="15" t="s">
        <x:v>57</x:v>
      </x:c>
      <x:c r="B151" s="14" t="s">
        <x:v>112</x:v>
      </x:c>
      <x:c r="C151" s="1">
        <x:v>1</x:v>
      </x:c>
      <x:c r="D151" s="9" t="s">
        <x:v>83</x:v>
      </x:c>
      <x:c r="E151" s="1" t="s">
        <x:v>194</x:v>
      </x:c>
      <x:c r="F151" s="7">
        <x:f>'2026.9.8'!K149</x:f>
        <x:v>41</x:v>
      </x:c>
      <x:c r="G151" s="1">
        <x:f>J7*C151</x:f>
        <x:v>0</x:v>
      </x:c>
      <x:c r="J151" s="12">
        <x:f>F151+I151-G151-H151</x:f>
        <x:v>41</x:v>
      </x:c>
      <x:c r="K151" s="13">
        <x:f>J151/C151</x:f>
        <x:v>41</x:v>
      </x:c>
      <x:c r="L151" s="25" t="str">
        <x:f>IF(K151&lt;=10,119,"")</x:f>
        <x:v/>
      </x:c>
      <x:c r="N151"/>
    </x:row>
    <x:row r="152" spans="1:14" ht="18" hidden="1" customHeight="1">
      <x:c r="A152" s="15" t="s">
        <x:v>57</x:v>
      </x:c>
      <x:c r="B152" s="14" t="s">
        <x:v>112</x:v>
      </x:c>
      <x:c r="C152" s="1">
        <x:v>1</x:v>
      </x:c>
      <x:c r="D152" s="9" t="s">
        <x:v>41</x:v>
      </x:c>
      <x:c r="E152" s="1" t="s">
        <x:v>164</x:v>
      </x:c>
      <x:c r="F152" s="7">
        <x:f>'2026.9.8'!K150</x:f>
        <x:v>1</x:v>
      </x:c>
      <x:c r="G152" s="1">
        <x:f>J8*C152</x:f>
        <x:v>0</x:v>
      </x:c>
      <x:c r="J152" s="12">
        <x:f>F152+I152-G152-H152</x:f>
        <x:v>1</x:v>
      </x:c>
      <x:c r="K152" s="13">
        <x:f>J152/C152</x:f>
        <x:v>1</x:v>
      </x:c>
      <x:c r="L152" s="25">
        <x:f>IF(K152&lt;=10,119,"")</x:f>
        <x:v>119</x:v>
      </x:c>
      <x:c r="N152"/>
    </x:row>
    <x:row r="153" spans="1:14" ht="18" hidden="1" customHeight="1">
      <x:c r="A153" s="15" t="s">
        <x:v>57</x:v>
      </x:c>
      <x:c r="B153" s="14" t="s">
        <x:v>112</x:v>
      </x:c>
      <x:c r="C153" s="1">
        <x:v>1</x:v>
      </x:c>
      <x:c r="D153" s="9" t="s">
        <x:v>47</x:v>
      </x:c>
      <x:c r="E153" s="1" t="s">
        <x:v>146</x:v>
      </x:c>
      <x:c r="F153" s="7">
        <x:f>'2026.9.8'!K151</x:f>
        <x:v>36</x:v>
      </x:c>
      <x:c r="G153" s="1">
        <x:f>J9*C153</x:f>
        <x:v>2</x:v>
      </x:c>
      <x:c r="J153" s="12">
        <x:f>F153+I153-G153-H153</x:f>
        <x:v>34</x:v>
      </x:c>
      <x:c r="K153" s="13">
        <x:f>J153/C153</x:f>
        <x:v>34</x:v>
      </x:c>
      <x:c r="L153" s="25" t="str">
        <x:f>IF(K153&lt;=10,119,"")</x:f>
        <x:v/>
      </x:c>
      <x:c r="N153"/>
    </x:row>
    <x:row r="154" spans="1:12" ht="18" hidden="1" customHeight="1">
      <x:c r="A154" s="15" t="s">
        <x:v>57</x:v>
      </x:c>
      <x:c r="B154" s="14" t="s">
        <x:v>112</x:v>
      </x:c>
      <x:c r="C154" s="1">
        <x:v>1</x:v>
      </x:c>
      <x:c r="D154" s="9" t="s">
        <x:v>73</x:v>
      </x:c>
      <x:c r="E154" s="1" t="s">
        <x:v>146</x:v>
      </x:c>
      <x:c r="F154" s="7">
        <x:f>'2026.9.8'!K152</x:f>
        <x:v>34</x:v>
      </x:c>
      <x:c r="G154" s="1">
        <x:f>J10*C154</x:f>
        <x:v>3</x:v>
      </x:c>
      <x:c r="I154" s="1">
        <x:v>1</x:v>
      </x:c>
      <x:c r="J154" s="12">
        <x:f>F154+I154-G154-H154</x:f>
        <x:v>32</x:v>
      </x:c>
      <x:c r="K154" s="13">
        <x:f>J154/C154</x:f>
        <x:v>32</x:v>
      </x:c>
      <x:c r="L154" s="25" t="str">
        <x:f>IF(K154&lt;=10,119,"")</x:f>
        <x:v/>
      </x:c>
    </x:row>
    <x:row r="155" spans="1:14" customFormat="1" ht="18" hidden="1" customHeight="1">
      <x:c r="A155" s="15" t="s">
        <x:v>149</x:v>
      </x:c>
      <x:c r="B155" s="14" t="s">
        <x:v>229</x:v>
      </x:c>
      <x:c r="C155" s="1">
        <x:v>1</x:v>
      </x:c>
      <x:c r="D155" s="14" t="s">
        <x:v>246</x:v>
      </x:c>
      <x:c r="E155" s="1" t="s">
        <x:v>289</x:v>
      </x:c>
      <x:c r="F155" s="7">
        <x:f>'2026.9.8'!K153</x:f>
        <x:v>1</x:v>
      </x:c>
      <x:c r="G155" s="1">
        <x:f>SUM(H7:H8)*C155</x:f>
        <x:v>0</x:v>
      </x:c>
      <x:c r="H155" s="1"/>
      <x:c r="I155" s="1"/>
      <x:c r="J155" s="12">
        <x:f>F155+I155-G155-H155</x:f>
        <x:v>1</x:v>
      </x:c>
      <x:c r="K155" s="13">
        <x:f>J155/C155</x:f>
        <x:v>1</x:v>
      </x:c>
      <x:c r="L155" s="25">
        <x:f>IF(K155&lt;=10,119,"")</x:f>
        <x:v>119</x:v>
      </x:c>
      <x:c r="N155" s="1"/>
    </x:row>
    <x:row r="156" spans="1:14" customFormat="1" ht="18" hidden="1" customHeight="1">
      <x:c r="A156" s="15" t="s">
        <x:v>149</x:v>
      </x:c>
      <x:c r="B156" s="14" t="s">
        <x:v>229</x:v>
      </x:c>
      <x:c r="C156" s="1">
        <x:v>1</x:v>
      </x:c>
      <x:c r="D156" s="14" t="s">
        <x:v>246</x:v>
      </x:c>
      <x:c r="E156" s="6" t="s">
        <x:v>162</x:v>
      </x:c>
      <x:c r="F156" s="7">
        <x:f>'2026.9.8'!K154</x:f>
        <x:v>3</x:v>
      </x:c>
      <x:c r="G156" s="1">
        <x:f>SUM(H7:H8)*C156</x:f>
        <x:v>0</x:v>
      </x:c>
      <x:c r="H156" s="1"/>
      <x:c r="I156" s="1"/>
      <x:c r="J156" s="12">
        <x:f>F156+I156-G156-H156</x:f>
        <x:v>3</x:v>
      </x:c>
      <x:c r="K156" s="13">
        <x:f>J156/C156</x:f>
        <x:v>3</x:v>
      </x:c>
      <x:c r="L156" s="25">
        <x:f>IF(K156&lt;=10,119,"")</x:f>
        <x:v>119</x:v>
      </x:c>
      <x:c r="N156" s="1"/>
    </x:row>
    <x:row r="157" spans="1:14" customFormat="1" ht="18" hidden="1" customHeight="1">
      <x:c r="A157" s="15" t="s">
        <x:v>149</x:v>
      </x:c>
      <x:c r="B157" s="14" t="s">
        <x:v>229</x:v>
      </x:c>
      <x:c r="C157" s="1">
        <x:v>1</x:v>
      </x:c>
      <x:c r="D157" s="14" t="s">
        <x:v>23</x:v>
      </x:c>
      <x:c r="E157" s="1" t="s">
        <x:v>289</x:v>
      </x:c>
      <x:c r="F157" s="7">
        <x:f>'2026.9.8'!K155</x:f>
        <x:v>0</x:v>
      </x:c>
      <x:c r="G157" s="1">
        <x:f>H5*C157</x:f>
        <x:v>0</x:v>
      </x:c>
      <x:c r="H157" s="1"/>
      <x:c r="I157" s="1"/>
      <x:c r="J157" s="12">
        <x:f>F157+I157-G157-H157</x:f>
        <x:v>0</x:v>
      </x:c>
      <x:c r="K157" s="13">
        <x:f>J157/C157</x:f>
        <x:v>0</x:v>
      </x:c>
      <x:c r="L157" s="25">
        <x:f>IF(K157&lt;=10,119,"")</x:f>
        <x:v>119</x:v>
      </x:c>
      <x:c r="N157" s="1"/>
    </x:row>
    <x:row r="158" spans="1:14" customFormat="1" ht="18" hidden="1" customHeight="1">
      <x:c r="A158" s="15" t="s">
        <x:v>149</x:v>
      </x:c>
      <x:c r="B158" s="14" t="s">
        <x:v>229</x:v>
      </x:c>
      <x:c r="C158" s="1">
        <x:v>1</x:v>
      </x:c>
      <x:c r="D158" s="14" t="s">
        <x:v>23</x:v>
      </x:c>
      <x:c r="E158" s="6" t="s">
        <x:v>162</x:v>
      </x:c>
      <x:c r="F158" s="7">
        <x:f>'2026.9.8'!K156</x:f>
        <x:v>0</x:v>
      </x:c>
      <x:c r="G158" s="1">
        <x:f>H5*C158</x:f>
        <x:v>0</x:v>
      </x:c>
      <x:c r="H158" s="1"/>
      <x:c r="I158" s="1"/>
      <x:c r="J158" s="12">
        <x:f>F158+I158-G158-H158</x:f>
        <x:v>0</x:v>
      </x:c>
      <x:c r="K158" s="13">
        <x:f>J158/C158</x:f>
        <x:v>0</x:v>
      </x:c>
      <x:c r="L158" s="25">
        <x:f>IF(K158&lt;=10,119,"")</x:f>
        <x:v>119</x:v>
      </x:c>
      <x:c r="N158" s="1"/>
    </x:row>
    <x:row r="159" spans="1:14" customFormat="1" ht="18" hidden="1" customHeight="1">
      <x:c r="A159" s="15" t="s">
        <x:v>149</x:v>
      </x:c>
      <x:c r="B159" s="14" t="s">
        <x:v>229</x:v>
      </x:c>
      <x:c r="C159" s="1">
        <x:v>1</x:v>
      </x:c>
      <x:c r="D159" s="14" t="s">
        <x:v>51</x:v>
      </x:c>
      <x:c r="E159" s="1" t="s">
        <x:v>289</x:v>
      </x:c>
      <x:c r="F159" s="7">
        <x:f>'2026.9.8'!K157</x:f>
        <x:v>4</x:v>
      </x:c>
      <x:c r="G159" s="1">
        <x:f>H8</x:f>
        <x:v>0</x:v>
      </x:c>
      <x:c r="H159" s="1"/>
      <x:c r="I159" s="1"/>
      <x:c r="J159" s="12">
        <x:f>F159+I159-G159-H159</x:f>
        <x:v>4</x:v>
      </x:c>
      <x:c r="K159" s="13">
        <x:f>J159/C159</x:f>
        <x:v>4</x:v>
      </x:c>
      <x:c r="L159" s="25">
        <x:f>IF(K159&lt;=10,119,"")</x:f>
        <x:v>119</x:v>
      </x:c>
      <x:c r="N159" s="1"/>
    </x:row>
    <x:row r="160" spans="1:14" customFormat="1" ht="18" hidden="1" customHeight="1">
      <x:c r="A160" s="15" t="s">
        <x:v>149</x:v>
      </x:c>
      <x:c r="B160" s="14" t="s">
        <x:v>229</x:v>
      </x:c>
      <x:c r="C160" s="1">
        <x:v>1</x:v>
      </x:c>
      <x:c r="D160" s="14" t="s">
        <x:v>51</x:v>
      </x:c>
      <x:c r="E160" s="6" t="s">
        <x:v>162</x:v>
      </x:c>
      <x:c r="F160" s="7">
        <x:f>'2026.9.8'!K158</x:f>
        <x:v>4</x:v>
      </x:c>
      <x:c r="G160" s="1">
        <x:f>H8</x:f>
        <x:v>0</x:v>
      </x:c>
      <x:c r="H160" s="1"/>
      <x:c r="I160" s="1"/>
      <x:c r="J160" s="12">
        <x:f>F160+I160-G160-H160</x:f>
        <x:v>4</x:v>
      </x:c>
      <x:c r="K160" s="13">
        <x:f>J160/C160</x:f>
        <x:v>4</x:v>
      </x:c>
      <x:c r="L160" s="25">
        <x:f>IF(K160&lt;=10,119,"")</x:f>
        <x:v>119</x:v>
      </x:c>
      <x:c r="N160" s="1"/>
    </x:row>
    <x:row r="161" spans="1:14" customFormat="1" ht="18" hidden="1" customHeight="1">
      <x:c r="A161" s="15" t="s">
        <x:v>149</x:v>
      </x:c>
      <x:c r="B161" s="14" t="s">
        <x:v>229</x:v>
      </x:c>
      <x:c r="C161" s="1">
        <x:v>1</x:v>
      </x:c>
      <x:c r="D161" s="14" t="s">
        <x:v>230</x:v>
      </x:c>
      <x:c r="E161" s="1" t="s">
        <x:v>289</x:v>
      </x:c>
      <x:c r="F161" s="7">
        <x:f>'2026.9.8'!K159</x:f>
        <x:v>92</x:v>
      </x:c>
      <x:c r="G161" s="1">
        <x:f>SUM(H15,H9)</x:f>
        <x:v>0</x:v>
      </x:c>
      <x:c r="H161" s="1"/>
      <x:c r="I161" s="1">
        <x:v>48</x:v>
      </x:c>
      <x:c r="J161" s="12">
        <x:f>F161+I161-G161-H161</x:f>
        <x:v>140</x:v>
      </x:c>
      <x:c r="K161" s="13">
        <x:f>J161/C161</x:f>
        <x:v>140</x:v>
      </x:c>
      <x:c r="L161" s="25" t="str">
        <x:f>IF(K161&lt;=10,119,"")</x:f>
        <x:v/>
      </x:c>
      <x:c r="N161" s="1"/>
    </x:row>
    <x:row r="162" spans="1:14" customFormat="1" ht="18" hidden="1" customHeight="1">
      <x:c r="A162" s="15" t="s">
        <x:v>149</x:v>
      </x:c>
      <x:c r="B162" s="14" t="s">
        <x:v>229</x:v>
      </x:c>
      <x:c r="C162" s="1">
        <x:v>1</x:v>
      </x:c>
      <x:c r="D162" s="14" t="s">
        <x:v>230</x:v>
      </x:c>
      <x:c r="E162" s="6" t="s">
        <x:v>162</x:v>
      </x:c>
      <x:c r="F162" s="7">
        <x:f>'2026.9.8'!K160</x:f>
        <x:v>92</x:v>
      </x:c>
      <x:c r="G162" s="1">
        <x:f>SUM(H9,H15)</x:f>
        <x:v>0</x:v>
      </x:c>
      <x:c r="H162" s="1"/>
      <x:c r="I162" s="1">
        <x:v>48</x:v>
      </x:c>
      <x:c r="J162" s="12">
        <x:f>F162+I162-G162-H162</x:f>
        <x:v>140</x:v>
      </x:c>
      <x:c r="K162" s="13">
        <x:f>J162/C162</x:f>
        <x:v>140</x:v>
      </x:c>
      <x:c r="L162" s="25" t="str">
        <x:f>IF(K162&lt;=10,119,"")</x:f>
        <x:v/>
      </x:c>
      <x:c r="N162" s="1"/>
    </x:row>
    <x:row r="163" spans="1:14" customFormat="1" ht="18" hidden="1" customHeight="1">
      <x:c r="A163" s="15" t="s">
        <x:v>149</x:v>
      </x:c>
      <x:c r="B163" s="14" t="s">
        <x:v>229</x:v>
      </x:c>
      <x:c r="C163" s="1">
        <x:v>1</x:v>
      </x:c>
      <x:c r="D163" s="14" t="s">
        <x:v>44</x:v>
      </x:c>
      <x:c r="E163" s="1" t="s">
        <x:v>289</x:v>
      </x:c>
      <x:c r="F163" s="7">
        <x:f>'2026.9.8'!K161</x:f>
        <x:v>42</x:v>
      </x:c>
      <x:c r="G163" s="1">
        <x:f>H10</x:f>
        <x:v>0</x:v>
      </x:c>
      <x:c r="H163" s="1"/>
      <x:c r="I163" s="1">
        <x:v>16</x:v>
      </x:c>
      <x:c r="J163" s="12">
        <x:f>F163+I163-G163-H163</x:f>
        <x:v>58</x:v>
      </x:c>
      <x:c r="K163" s="13">
        <x:f>J163/C163</x:f>
        <x:v>58</x:v>
      </x:c>
      <x:c r="L163" s="25" t="str">
        <x:f>IF(K163&lt;=10,119,"")</x:f>
        <x:v/>
      </x:c>
      <x:c r="N163" s="1"/>
    </x:row>
    <x:row r="164" spans="1:14" customFormat="1" ht="18" hidden="1" customHeight="1">
      <x:c r="A164" s="15" t="s">
        <x:v>149</x:v>
      </x:c>
      <x:c r="B164" s="14" t="s">
        <x:v>229</x:v>
      </x:c>
      <x:c r="C164" s="1">
        <x:v>1</x:v>
      </x:c>
      <x:c r="D164" s="14" t="s">
        <x:v>44</x:v>
      </x:c>
      <x:c r="E164" s="6" t="s">
        <x:v>162</x:v>
      </x:c>
      <x:c r="F164" s="7">
        <x:f>'2026.9.8'!K162</x:f>
        <x:v>42</x:v>
      </x:c>
      <x:c r="G164" s="1">
        <x:f>H10</x:f>
        <x:v>0</x:v>
      </x:c>
      <x:c r="H164" s="1"/>
      <x:c r="I164" s="1">
        <x:v>16</x:v>
      </x:c>
      <x:c r="J164" s="12">
        <x:f>F164+I164-G164-H164</x:f>
        <x:v>58</x:v>
      </x:c>
      <x:c r="K164" s="13">
        <x:f>J164/C164</x:f>
        <x:v>58</x:v>
      </x:c>
      <x:c r="L164" s="25" t="str">
        <x:f>IF(K164&lt;=10,119,"")</x:f>
        <x:v/>
      </x:c>
      <x:c r="N164" s="1"/>
    </x:row>
    <x:row r="165" spans="1:14" customFormat="1" ht="18" hidden="1" customHeight="1">
      <x:c r="A165" s="15" t="s">
        <x:v>149</x:v>
      </x:c>
      <x:c r="B165" s="14" t="s">
        <x:v>229</x:v>
      </x:c>
      <x:c r="C165" s="1">
        <x:v>1</x:v>
      </x:c>
      <x:c r="D165" s="14" t="s">
        <x:v>76</x:v>
      </x:c>
      <x:c r="E165" s="1" t="s">
        <x:v>289</x:v>
      </x:c>
      <x:c r="F165" s="7">
        <x:f>'2026.9.8'!K163</x:f>
        <x:v>0</x:v>
      </x:c>
      <x:c r="G165" s="1">
        <x:f>H12</x:f>
        <x:v>0</x:v>
      </x:c>
      <x:c r="H165" s="1"/>
      <x:c r="I165" s="1"/>
      <x:c r="J165" s="12">
        <x:f>F165+I165-G165-H165</x:f>
        <x:v>0</x:v>
      </x:c>
      <x:c r="K165" s="13">
        <x:f>J165/C165</x:f>
        <x:v>0</x:v>
      </x:c>
      <x:c r="L165" s="25">
        <x:f>IF(K165&lt;=10,119,"")</x:f>
        <x:v>119</x:v>
      </x:c>
      <x:c r="N165" s="1"/>
    </x:row>
    <x:row r="166" spans="1:14" customFormat="1" ht="18" hidden="1" customHeight="1">
      <x:c r="A166" s="15" t="s">
        <x:v>149</x:v>
      </x:c>
      <x:c r="B166" s="14" t="s">
        <x:v>229</x:v>
      </x:c>
      <x:c r="C166" s="1">
        <x:v>1</x:v>
      </x:c>
      <x:c r="D166" s="14" t="s">
        <x:v>76</x:v>
      </x:c>
      <x:c r="E166" s="6" t="s">
        <x:v>162</x:v>
      </x:c>
      <x:c r="F166" s="7">
        <x:f>'2026.9.8'!K164</x:f>
        <x:v>0</x:v>
      </x:c>
      <x:c r="G166" s="1">
        <x:f>H12</x:f>
        <x:v>0</x:v>
      </x:c>
      <x:c r="H166" s="1"/>
      <x:c r="I166" s="1"/>
      <x:c r="J166" s="12">
        <x:f>F166+I166-G166-H166</x:f>
        <x:v>0</x:v>
      </x:c>
      <x:c r="K166" s="13">
        <x:f>J166/C166</x:f>
        <x:v>0</x:v>
      </x:c>
      <x:c r="L166" s="25">
        <x:f>IF(K166&lt;=10,119,"")</x:f>
        <x:v>119</x:v>
      </x:c>
      <x:c r="N166" s="1"/>
    </x:row>
    <x:row r="167" spans="1:14" customFormat="1" ht="18" hidden="1" customHeight="1">
      <x:c r="A167" s="15" t="s">
        <x:v>149</x:v>
      </x:c>
      <x:c r="B167" s="14" t="s">
        <x:v>229</x:v>
      </x:c>
      <x:c r="C167" s="1">
        <x:v>1</x:v>
      </x:c>
      <x:c r="D167" s="14" t="s">
        <x:v>6</x:v>
      </x:c>
      <x:c r="E167" s="1" t="s">
        <x:v>289</x:v>
      </x:c>
      <x:c r="F167" s="7">
        <x:f>'2026.9.8'!K165</x:f>
        <x:v>10</x:v>
      </x:c>
      <x:c r="G167" s="1">
        <x:f>SUM(H13,H16)*C167</x:f>
        <x:v>0</x:v>
      </x:c>
      <x:c r="H167" s="1"/>
      <x:c r="I167" s="1">
        <x:v>4</x:v>
      </x:c>
      <x:c r="J167" s="12">
        <x:f>F167+I167-G167-H167</x:f>
        <x:v>14</x:v>
      </x:c>
      <x:c r="K167" s="13">
        <x:f>J167/C167</x:f>
        <x:v>14</x:v>
      </x:c>
      <x:c r="L167" s="25" t="str">
        <x:f>IF(K167&lt;=10,119,"")</x:f>
        <x:v/>
      </x:c>
      <x:c r="N167" s="1"/>
    </x:row>
    <x:row r="168" spans="1:14" customFormat="1" ht="18" hidden="1" customHeight="1">
      <x:c r="A168" s="15" t="s">
        <x:v>149</x:v>
      </x:c>
      <x:c r="B168" s="14" t="s">
        <x:v>229</x:v>
      </x:c>
      <x:c r="C168" s="1">
        <x:v>1</x:v>
      </x:c>
      <x:c r="D168" s="14" t="s">
        <x:v>6</x:v>
      </x:c>
      <x:c r="E168" s="6" t="s">
        <x:v>162</x:v>
      </x:c>
      <x:c r="F168" s="7">
        <x:f>'2026.9.8'!K166</x:f>
        <x:v>10</x:v>
      </x:c>
      <x:c r="G168" s="1">
        <x:f>SUM(H13,H16)*C168</x:f>
        <x:v>0</x:v>
      </x:c>
      <x:c r="H168" s="1"/>
      <x:c r="I168" s="1">
        <x:v>4</x:v>
      </x:c>
      <x:c r="J168" s="12">
        <x:f>F168+I168-G168-H168</x:f>
        <x:v>14</x:v>
      </x:c>
      <x:c r="K168" s="13">
        <x:f>J168/C168</x:f>
        <x:v>14</x:v>
      </x:c>
      <x:c r="L168" s="25" t="str">
        <x:f>IF(K168&lt;=10,119,"")</x:f>
        <x:v/>
      </x:c>
      <x:c r="N168" s="1"/>
    </x:row>
    <x:row r="169" spans="1:14" customFormat="1" ht="18" hidden="1" customHeight="1">
      <x:c r="A169" s="15" t="s">
        <x:v>149</x:v>
      </x:c>
      <x:c r="B169" s="14" t="s">
        <x:v>229</x:v>
      </x:c>
      <x:c r="C169" s="1">
        <x:v>1</x:v>
      </x:c>
      <x:c r="D169" s="14" t="s">
        <x:v>249</x:v>
      </x:c>
      <x:c r="E169" s="1" t="s">
        <x:v>289</x:v>
      </x:c>
      <x:c r="F169" s="7">
        <x:f>'2026.9.8'!K167</x:f>
        <x:v>71</x:v>
      </x:c>
      <x:c r="G169" s="1">
        <x:f>SUM(H18,H20,H21)</x:f>
        <x:v>0</x:v>
      </x:c>
      <x:c r="H169" s="1"/>
      <x:c r="I169" s="1">
        <x:v>35</x:v>
      </x:c>
      <x:c r="J169" s="12">
        <x:f>F169+I169-G169-H169</x:f>
        <x:v>106</x:v>
      </x:c>
      <x:c r="K169" s="13">
        <x:f>J169/C169</x:f>
        <x:v>106</x:v>
      </x:c>
      <x:c r="L169" s="25" t="str">
        <x:f>IF(K169&lt;=10,119,"")</x:f>
        <x:v/>
      </x:c>
      <x:c r="N169" s="1"/>
    </x:row>
    <x:row r="170" spans="1:14" customFormat="1" ht="18" hidden="1" customHeight="1">
      <x:c r="A170" s="15" t="s">
        <x:v>149</x:v>
      </x:c>
      <x:c r="B170" s="14" t="s">
        <x:v>229</x:v>
      </x:c>
      <x:c r="C170" s="1">
        <x:v>1</x:v>
      </x:c>
      <x:c r="D170" s="14" t="s">
        <x:v>249</x:v>
      </x:c>
      <x:c r="E170" s="6" t="s">
        <x:v>162</x:v>
      </x:c>
      <x:c r="F170" s="7">
        <x:f>'2026.9.8'!K168</x:f>
        <x:v>71</x:v>
      </x:c>
      <x:c r="G170" s="1">
        <x:f>SUM(H18,H20,H21)</x:f>
        <x:v>0</x:v>
      </x:c>
      <x:c r="H170" s="1"/>
      <x:c r="I170" s="1">
        <x:v>35</x:v>
      </x:c>
      <x:c r="J170" s="12">
        <x:f>F170+I170-G170-H170</x:f>
        <x:v>106</x:v>
      </x:c>
      <x:c r="K170" s="13">
        <x:f>J170/C170</x:f>
        <x:v>106</x:v>
      </x:c>
      <x:c r="L170" s="25" t="str">
        <x:f>IF(K170&lt;=10,119,"")</x:f>
        <x:v/>
      </x:c>
      <x:c r="N170" s="1"/>
    </x:row>
    <x:row r="171" spans="1:14" customFormat="1" ht="18" hidden="1" customHeight="1">
      <x:c r="A171" s="15" t="s">
        <x:v>149</x:v>
      </x:c>
      <x:c r="B171" s="14" t="s">
        <x:v>229</x:v>
      </x:c>
      <x:c r="C171" s="1">
        <x:v>1</x:v>
      </x:c>
      <x:c r="D171" s="14" t="s">
        <x:v>70</x:v>
      </x:c>
      <x:c r="E171" s="1" t="s">
        <x:v>289</x:v>
      </x:c>
      <x:c r="F171" s="7">
        <x:f>'2026.9.8'!K169</x:f>
        <x:v>69</x:v>
      </x:c>
      <x:c r="G171" s="1">
        <x:f>H22</x:f>
        <x:v>0</x:v>
      </x:c>
      <x:c r="H171" s="1"/>
      <x:c r="I171" s="1">
        <x:v>45</x:v>
      </x:c>
      <x:c r="J171" s="12">
        <x:f>F171+I171-G171-H171</x:f>
        <x:v>114</x:v>
      </x:c>
      <x:c r="K171" s="13">
        <x:f>J171/C171</x:f>
        <x:v>114</x:v>
      </x:c>
      <x:c r="L171" s="25" t="str">
        <x:f>IF(K171&lt;=10,119,"")</x:f>
        <x:v/>
      </x:c>
      <x:c r="N171" s="1"/>
    </x:row>
    <x:row r="172" spans="1:14" customFormat="1" ht="18" hidden="1" customHeight="1">
      <x:c r="A172" s="15" t="s">
        <x:v>149</x:v>
      </x:c>
      <x:c r="B172" s="14" t="s">
        <x:v>229</x:v>
      </x:c>
      <x:c r="C172" s="1">
        <x:v>1</x:v>
      </x:c>
      <x:c r="D172" s="14" t="s">
        <x:v>70</x:v>
      </x:c>
      <x:c r="E172" s="6" t="s">
        <x:v>162</x:v>
      </x:c>
      <x:c r="F172" s="7">
        <x:f>'2026.9.8'!K170</x:f>
        <x:v>69</x:v>
      </x:c>
      <x:c r="G172" s="1">
        <x:f>H22</x:f>
        <x:v>0</x:v>
      </x:c>
      <x:c r="H172" s="1"/>
      <x:c r="I172" s="1">
        <x:v>45</x:v>
      </x:c>
      <x:c r="J172" s="12">
        <x:f>F172+I172-G172-H172</x:f>
        <x:v>114</x:v>
      </x:c>
      <x:c r="K172" s="13">
        <x:f>J172/C172</x:f>
        <x:v>114</x:v>
      </x:c>
      <x:c r="L172" s="25" t="str">
        <x:f>IF(K172&lt;=10,119,"")</x:f>
        <x:v/>
      </x:c>
      <x:c r="N172" s="1"/>
    </x:row>
    <x:row r="173" spans="1:14" customFormat="1" ht="18" hidden="1" customHeight="1">
      <x:c r="A173" s="15" t="s">
        <x:v>149</x:v>
      </x:c>
      <x:c r="B173" s="14" t="s">
        <x:v>229</x:v>
      </x:c>
      <x:c r="C173" s="1">
        <x:v>1</x:v>
      </x:c>
      <x:c r="D173" s="14" t="s">
        <x:v>244</x:v>
      </x:c>
      <x:c r="E173" s="1" t="s">
        <x:v>289</x:v>
      </x:c>
      <x:c r="F173" s="7">
        <x:f>'2026.9.8'!K171</x:f>
        <x:v>0</x:v>
      </x:c>
      <x:c r="G173" s="1">
        <x:f>H23*C173</x:f>
        <x:v>0</x:v>
      </x:c>
      <x:c r="H173" s="1"/>
      <x:c r="I173" s="1"/>
      <x:c r="J173" s="12">
        <x:f>F173+I173-G173-H173</x:f>
        <x:v>0</x:v>
      </x:c>
      <x:c r="K173" s="13">
        <x:f>J173/C173</x:f>
        <x:v>0</x:v>
      </x:c>
      <x:c r="L173" s="25">
        <x:f>IF(K173&lt;=10,119,"")</x:f>
        <x:v>119</x:v>
      </x:c>
      <x:c r="N173" s="1"/>
    </x:row>
    <x:row r="174" spans="1:14" customFormat="1" ht="18" hidden="1" customHeight="1">
      <x:c r="A174" s="15" t="s">
        <x:v>149</x:v>
      </x:c>
      <x:c r="B174" s="14" t="s">
        <x:v>229</x:v>
      </x:c>
      <x:c r="C174" s="1">
        <x:v>1</x:v>
      </x:c>
      <x:c r="D174" s="14" t="s">
        <x:v>244</x:v>
      </x:c>
      <x:c r="E174" s="6" t="s">
        <x:v>162</x:v>
      </x:c>
      <x:c r="F174" s="7">
        <x:f>'2026.9.8'!K172</x:f>
        <x:v>0</x:v>
      </x:c>
      <x:c r="G174" s="1">
        <x:f>H23*C174</x:f>
        <x:v>0</x:v>
      </x:c>
      <x:c r="H174" s="1"/>
      <x:c r="I174" s="1"/>
      <x:c r="J174" s="12">
        <x:f>F174+I174-G174-H174</x:f>
        <x:v>0</x:v>
      </x:c>
      <x:c r="K174" s="13">
        <x:f>J174/C174</x:f>
        <x:v>0</x:v>
      </x:c>
      <x:c r="L174" s="25">
        <x:f>IF(K174&lt;=10,119,"")</x:f>
        <x:v>119</x:v>
      </x:c>
      <x:c r="N174" s="1"/>
    </x:row>
    <x:row r="175" spans="1:14" customFormat="1" ht="18" hidden="1" customHeight="1">
      <x:c r="A175" s="15" t="s">
        <x:v>149</x:v>
      </x:c>
      <x:c r="B175" s="14" t="s">
        <x:v>229</x:v>
      </x:c>
      <x:c r="C175" s="1">
        <x:v>1</x:v>
      </x:c>
      <x:c r="D175" s="14" t="s">
        <x:v>247</x:v>
      </x:c>
      <x:c r="E175" s="1" t="s">
        <x:v>289</x:v>
      </x:c>
      <x:c r="F175" s="7">
        <x:f>'2026.9.8'!K173</x:f>
        <x:v>0</x:v>
      </x:c>
      <x:c r="G175" s="1">
        <x:f>H24*C175</x:f>
        <x:v>0</x:v>
      </x:c>
      <x:c r="H175" s="1"/>
      <x:c r="I175" s="1"/>
      <x:c r="J175" s="12">
        <x:f>F175+I175-G175-H175</x:f>
        <x:v>0</x:v>
      </x:c>
      <x:c r="K175" s="13">
        <x:f>J175/C175</x:f>
        <x:v>0</x:v>
      </x:c>
      <x:c r="L175" s="25">
        <x:f>IF(K175&lt;=10,119,"")</x:f>
        <x:v>119</x:v>
      </x:c>
      <x:c r="N175" s="1"/>
    </x:row>
    <x:row r="176" spans="1:14" customFormat="1" ht="18" hidden="1" customHeight="1">
      <x:c r="A176" s="15" t="s">
        <x:v>149</x:v>
      </x:c>
      <x:c r="B176" s="14" t="s">
        <x:v>229</x:v>
      </x:c>
      <x:c r="C176" s="1">
        <x:v>1</x:v>
      </x:c>
      <x:c r="D176" s="14" t="s">
        <x:v>247</x:v>
      </x:c>
      <x:c r="E176" s="6" t="s">
        <x:v>162</x:v>
      </x:c>
      <x:c r="F176" s="7">
        <x:f>'2026.9.8'!K174</x:f>
        <x:v>0</x:v>
      </x:c>
      <x:c r="G176" s="1">
        <x:f>H24*C176</x:f>
        <x:v>0</x:v>
      </x:c>
      <x:c r="H176" s="1"/>
      <x:c r="I176" s="1"/>
      <x:c r="J176" s="12">
        <x:f>F176+I176-G176-H176</x:f>
        <x:v>0</x:v>
      </x:c>
      <x:c r="K176" s="13">
        <x:f>J176/C176</x:f>
        <x:v>0</x:v>
      </x:c>
      <x:c r="L176" s="25">
        <x:f>IF(K176&lt;=10,119,"")</x:f>
        <x:v>119</x:v>
      </x:c>
      <x:c r="N176" s="1"/>
    </x:row>
    <x:row r="177" spans="1:14" customFormat="1" ht="18" hidden="1" customHeight="1">
      <x:c r="A177" s="15" t="s">
        <x:v>149</x:v>
      </x:c>
      <x:c r="B177" s="14" t="s">
        <x:v>229</x:v>
      </x:c>
      <x:c r="C177" s="1">
        <x:v>1</x:v>
      </x:c>
      <x:c r="D177" s="14" t="s">
        <x:v>22</x:v>
      </x:c>
      <x:c r="E177" s="1" t="s">
        <x:v>289</x:v>
      </x:c>
      <x:c r="F177" s="7">
        <x:f>'2026.9.8'!K175</x:f>
        <x:v>0</x:v>
      </x:c>
      <x:c r="G177" s="1">
        <x:f>H25*C177</x:f>
        <x:v>0</x:v>
      </x:c>
      <x:c r="H177" s="1"/>
      <x:c r="I177" s="1"/>
      <x:c r="J177" s="12">
        <x:f>F177+I177-G177-H177</x:f>
        <x:v>0</x:v>
      </x:c>
      <x:c r="K177" s="13">
        <x:f>J177/C177</x:f>
        <x:v>0</x:v>
      </x:c>
      <x:c r="L177" s="25">
        <x:f>IF(K177&lt;=10,119,"")</x:f>
        <x:v>119</x:v>
      </x:c>
      <x:c r="N177" s="1"/>
    </x:row>
    <x:row r="178" spans="1:14" customFormat="1" ht="18" hidden="1" customHeight="1">
      <x:c r="A178" s="15" t="s">
        <x:v>149</x:v>
      </x:c>
      <x:c r="B178" s="14" t="s">
        <x:v>229</x:v>
      </x:c>
      <x:c r="C178" s="1">
        <x:v>1</x:v>
      </x:c>
      <x:c r="D178" s="14" t="s">
        <x:v>22</x:v>
      </x:c>
      <x:c r="E178" s="6" t="s">
        <x:v>162</x:v>
      </x:c>
      <x:c r="F178" s="7">
        <x:f>'2026.9.8'!K176</x:f>
        <x:v>0</x:v>
      </x:c>
      <x:c r="G178" s="1">
        <x:f>H25*C178</x:f>
        <x:v>0</x:v>
      </x:c>
      <x:c r="H178" s="1"/>
      <x:c r="I178" s="1"/>
      <x:c r="J178" s="12">
        <x:f>F178+I178-G178-H178</x:f>
        <x:v>0</x:v>
      </x:c>
      <x:c r="K178" s="13">
        <x:f>J178/C178</x:f>
        <x:v>0</x:v>
      </x:c>
      <x:c r="L178" s="25">
        <x:f>IF(K178&lt;=10,119,"")</x:f>
        <x:v>119</x:v>
      </x:c>
      <x:c r="N178" s="1"/>
    </x:row>
    <x:row r="179" spans="1:14" customFormat="1" ht="18" hidden="1" customHeight="1">
      <x:c r="A179" s="15" t="s">
        <x:v>149</x:v>
      </x:c>
      <x:c r="B179" s="14" t="s">
        <x:v>229</x:v>
      </x:c>
      <x:c r="C179" s="1">
        <x:v>1</x:v>
      </x:c>
      <x:c r="D179" s="14" t="s">
        <x:v>96</x:v>
      </x:c>
      <x:c r="E179" s="1" t="s">
        <x:v>289</x:v>
      </x:c>
      <x:c r="F179" s="7">
        <x:f>'2026.9.8'!K177</x:f>
        <x:v>2</x:v>
      </x:c>
      <x:c r="G179" s="1">
        <x:f>H26*C179</x:f>
        <x:v>0</x:v>
      </x:c>
      <x:c r="H179" s="1"/>
      <x:c r="I179" s="1"/>
      <x:c r="J179" s="12">
        <x:f>F179+I179-G179-H179</x:f>
        <x:v>2</x:v>
      </x:c>
      <x:c r="K179" s="13">
        <x:f>J179/C179</x:f>
        <x:v>2</x:v>
      </x:c>
      <x:c r="L179" s="25">
        <x:f>IF(K179&lt;=10,119,"")</x:f>
        <x:v>119</x:v>
      </x:c>
      <x:c r="N179" s="1"/>
    </x:row>
    <x:row r="180" spans="1:14" customFormat="1" ht="18" hidden="1" customHeight="1">
      <x:c r="A180" s="15" t="s">
        <x:v>149</x:v>
      </x:c>
      <x:c r="B180" s="14" t="s">
        <x:v>229</x:v>
      </x:c>
      <x:c r="C180" s="1">
        <x:v>1</x:v>
      </x:c>
      <x:c r="D180" s="14" t="s">
        <x:v>96</x:v>
      </x:c>
      <x:c r="E180" s="6" t="s">
        <x:v>162</x:v>
      </x:c>
      <x:c r="F180" s="7">
        <x:f>'2026.9.8'!K178</x:f>
        <x:v>2</x:v>
      </x:c>
      <x:c r="G180" s="1">
        <x:f>H26*C180</x:f>
        <x:v>0</x:v>
      </x:c>
      <x:c r="H180" s="1"/>
      <x:c r="I180" s="1"/>
      <x:c r="J180" s="12">
        <x:f>F180+I180-G180-H180</x:f>
        <x:v>2</x:v>
      </x:c>
      <x:c r="K180" s="13">
        <x:f>J180/C180</x:f>
        <x:v>2</x:v>
      </x:c>
      <x:c r="L180" s="25">
        <x:f>IF(K180&lt;=10,119,"")</x:f>
        <x:v>119</x:v>
      </x:c>
      <x:c r="N180" s="1"/>
    </x:row>
    <x:row r="181" spans="1:14" customFormat="1" ht="18" hidden="1" customHeight="1">
      <x:c r="A181" s="15" t="s">
        <x:v>149</x:v>
      </x:c>
      <x:c r="B181" s="14" t="s">
        <x:v>229</x:v>
      </x:c>
      <x:c r="C181" s="1">
        <x:v>1</x:v>
      </x:c>
      <x:c r="D181" s="14" t="s">
        <x:v>83</x:v>
      </x:c>
      <x:c r="E181" s="1" t="s">
        <x:v>289</x:v>
      </x:c>
      <x:c r="F181" s="7">
        <x:f>'2026.9.8'!K179</x:f>
        <x:v>0</x:v>
      </x:c>
      <x:c r="G181" s="1">
        <x:f>J7</x:f>
        <x:v>0</x:v>
      </x:c>
      <x:c r="H181" s="1"/>
      <x:c r="I181" s="1"/>
      <x:c r="J181" s="12">
        <x:f>F181+I181-G181-H181</x:f>
        <x:v>0</x:v>
      </x:c>
      <x:c r="K181" s="13">
        <x:f>J181/C181</x:f>
        <x:v>0</x:v>
      </x:c>
      <x:c r="L181" s="25">
        <x:f>IF(K181&lt;=10,119,"")</x:f>
        <x:v>119</x:v>
      </x:c>
      <x:c r="N181" s="1"/>
    </x:row>
    <x:row r="182" spans="1:14" customFormat="1" ht="18" hidden="1" customHeight="1">
      <x:c r="A182" s="15" t="s">
        <x:v>149</x:v>
      </x:c>
      <x:c r="B182" s="14" t="s">
        <x:v>229</x:v>
      </x:c>
      <x:c r="C182" s="1">
        <x:v>1</x:v>
      </x:c>
      <x:c r="D182" s="14" t="s">
        <x:v>83</x:v>
      </x:c>
      <x:c r="E182" s="6" t="s">
        <x:v>162</x:v>
      </x:c>
      <x:c r="F182" s="7">
        <x:f>'2026.9.8'!K180</x:f>
        <x:v>0</x:v>
      </x:c>
      <x:c r="G182" s="1">
        <x:f>J7</x:f>
        <x:v>0</x:v>
      </x:c>
      <x:c r="H182" s="1"/>
      <x:c r="I182" s="1"/>
      <x:c r="J182" s="12">
        <x:f>F182+I182-G182-H182</x:f>
        <x:v>0</x:v>
      </x:c>
      <x:c r="K182" s="13">
        <x:f>J182/C182</x:f>
        <x:v>0</x:v>
      </x:c>
      <x:c r="L182" s="25">
        <x:f>IF(K182&lt;=10,119,"")</x:f>
        <x:v>119</x:v>
      </x:c>
      <x:c r="N182" s="1"/>
    </x:row>
    <x:row r="183" spans="1:14" customFormat="1" ht="18" hidden="1" customHeight="1">
      <x:c r="A183" s="15" t="s">
        <x:v>149</x:v>
      </x:c>
      <x:c r="B183" s="14" t="s">
        <x:v>229</x:v>
      </x:c>
      <x:c r="C183" s="1">
        <x:v>1</x:v>
      </x:c>
      <x:c r="D183" s="14" t="s">
        <x:v>41</x:v>
      </x:c>
      <x:c r="E183" s="1" t="s">
        <x:v>289</x:v>
      </x:c>
      <x:c r="F183" s="7">
        <x:f>'2026.9.8'!K181</x:f>
        <x:v>0</x:v>
      </x:c>
      <x:c r="G183" s="1">
        <x:f>J8</x:f>
        <x:v>0</x:v>
      </x:c>
      <x:c r="H183" s="1"/>
      <x:c r="I183" s="1"/>
      <x:c r="J183" s="12">
        <x:f>F183+I183-G183-H183</x:f>
        <x:v>0</x:v>
      </x:c>
      <x:c r="K183" s="13">
        <x:f>J183/C183</x:f>
        <x:v>0</x:v>
      </x:c>
      <x:c r="L183" s="25">
        <x:f>IF(K183&lt;=10,119,"")</x:f>
        <x:v>119</x:v>
      </x:c>
      <x:c r="N183" s="1"/>
    </x:row>
    <x:row r="184" spans="1:14" customFormat="1" ht="18" hidden="1" customHeight="1">
      <x:c r="A184" s="15" t="s">
        <x:v>149</x:v>
      </x:c>
      <x:c r="B184" s="14" t="s">
        <x:v>229</x:v>
      </x:c>
      <x:c r="C184" s="1">
        <x:v>1</x:v>
      </x:c>
      <x:c r="D184" s="14" t="s">
        <x:v>41</x:v>
      </x:c>
      <x:c r="E184" s="6" t="s">
        <x:v>162</x:v>
      </x:c>
      <x:c r="F184" s="7">
        <x:f>'2026.9.8'!K182</x:f>
        <x:v>0</x:v>
      </x:c>
      <x:c r="G184" s="1">
        <x:f>J8</x:f>
        <x:v>0</x:v>
      </x:c>
      <x:c r="H184" s="1"/>
      <x:c r="I184" s="1"/>
      <x:c r="J184" s="12">
        <x:f>F184+I184-G184-H184</x:f>
        <x:v>0</x:v>
      </x:c>
      <x:c r="K184" s="13">
        <x:f>J184/C184</x:f>
        <x:v>0</x:v>
      </x:c>
      <x:c r="L184" s="25">
        <x:f>IF(K184&lt;=10,119,"")</x:f>
        <x:v>119</x:v>
      </x:c>
      <x:c r="N184" s="1"/>
    </x:row>
    <x:row r="185" spans="1:14" customFormat="1" ht="18" hidden="1" customHeight="1">
      <x:c r="A185" s="15" t="s">
        <x:v>149</x:v>
      </x:c>
      <x:c r="B185" s="14" t="s">
        <x:v>229</x:v>
      </x:c>
      <x:c r="C185" s="1">
        <x:v>1</x:v>
      </x:c>
      <x:c r="D185" s="14" t="s">
        <x:v>47</x:v>
      </x:c>
      <x:c r="E185" s="1" t="s">
        <x:v>289</x:v>
      </x:c>
      <x:c r="F185" s="7">
        <x:f>'2026.9.8'!K183</x:f>
        <x:v>9</x:v>
      </x:c>
      <x:c r="G185" s="1">
        <x:f>J9</x:f>
        <x:v>2</x:v>
      </x:c>
      <x:c r="H185" s="1"/>
      <x:c r="I185" s="1"/>
      <x:c r="J185" s="12">
        <x:f>F185+I185-G185-H185</x:f>
        <x:v>7</x:v>
      </x:c>
      <x:c r="K185" s="13">
        <x:f>J185/C185</x:f>
        <x:v>7</x:v>
      </x:c>
      <x:c r="L185" s="25">
        <x:f>IF(K185&lt;=10,119,"")</x:f>
        <x:v>119</x:v>
      </x:c>
      <x:c r="N185" s="1"/>
    </x:row>
    <x:row r="186" spans="1:14" customFormat="1" ht="18" hidden="1" customHeight="1">
      <x:c r="A186" s="15" t="s">
        <x:v>149</x:v>
      </x:c>
      <x:c r="B186" s="14" t="s">
        <x:v>229</x:v>
      </x:c>
      <x:c r="C186" s="1">
        <x:v>1</x:v>
      </x:c>
      <x:c r="D186" s="14" t="s">
        <x:v>47</x:v>
      </x:c>
      <x:c r="E186" s="6" t="s">
        <x:v>162</x:v>
      </x:c>
      <x:c r="F186" s="7">
        <x:f>'2026.9.8'!K184</x:f>
        <x:v>9</x:v>
      </x:c>
      <x:c r="G186" s="1">
        <x:f>J9</x:f>
        <x:v>2</x:v>
      </x:c>
      <x:c r="H186" s="1"/>
      <x:c r="I186" s="1"/>
      <x:c r="J186" s="12">
        <x:f>F186+I186-G186-H186</x:f>
        <x:v>7</x:v>
      </x:c>
      <x:c r="K186" s="13">
        <x:f>J186/C186</x:f>
        <x:v>7</x:v>
      </x:c>
      <x:c r="L186" s="25">
        <x:f>IF(K186&lt;=10,119,"")</x:f>
        <x:v>119</x:v>
      </x:c>
      <x:c r="N186" s="1"/>
    </x:row>
    <x:row r="187" spans="1:14" customFormat="1" ht="18" hidden="1" customHeight="1">
      <x:c r="A187" s="15" t="s">
        <x:v>149</x:v>
      </x:c>
      <x:c r="B187" s="14" t="s">
        <x:v>229</x:v>
      </x:c>
      <x:c r="C187" s="1">
        <x:v>1</x:v>
      </x:c>
      <x:c r="D187" s="14" t="s">
        <x:v>73</x:v>
      </x:c>
      <x:c r="E187" s="1" t="s">
        <x:v>289</x:v>
      </x:c>
      <x:c r="F187" s="7">
        <x:f>'2026.9.8'!K185</x:f>
        <x:v>5</x:v>
      </x:c>
      <x:c r="G187" s="1">
        <x:f>J10</x:f>
        <x:v>3</x:v>
      </x:c>
      <x:c r="H187" s="1"/>
      <x:c r="I187" s="1"/>
      <x:c r="J187" s="12">
        <x:f>F187+I187-G187-H187</x:f>
        <x:v>2</x:v>
      </x:c>
      <x:c r="K187" s="13">
        <x:f>J187/C187</x:f>
        <x:v>2</x:v>
      </x:c>
      <x:c r="L187" s="25">
        <x:f>IF(K187&lt;=10,119,"")</x:f>
        <x:v>119</x:v>
      </x:c>
      <x:c r="N187" s="1"/>
    </x:row>
    <x:row r="188" spans="1:14" customFormat="1" ht="18" hidden="1" customHeight="1">
      <x:c r="A188" s="15" t="s">
        <x:v>149</x:v>
      </x:c>
      <x:c r="B188" s="14" t="s">
        <x:v>229</x:v>
      </x:c>
      <x:c r="C188" s="1">
        <x:v>1</x:v>
      </x:c>
      <x:c r="D188" s="14" t="s">
        <x:v>73</x:v>
      </x:c>
      <x:c r="E188" s="6" t="s">
        <x:v>162</x:v>
      </x:c>
      <x:c r="F188" s="7">
        <x:f>'2026.9.8'!K186</x:f>
        <x:v>5</x:v>
      </x:c>
      <x:c r="G188" s="1">
        <x:f>J10</x:f>
        <x:v>3</x:v>
      </x:c>
      <x:c r="H188" s="1"/>
      <x:c r="I188" s="1"/>
      <x:c r="J188" s="12">
        <x:f>F188+I188-G188-H188</x:f>
        <x:v>2</x:v>
      </x:c>
      <x:c r="K188" s="13">
        <x:f>J188/C188</x:f>
        <x:v>2</x:v>
      </x:c>
      <x:c r="L188" s="25">
        <x:f>IF(K188&lt;=10,119,"")</x:f>
        <x:v>119</x:v>
      </x:c>
      <x:c r="N188" s="1"/>
    </x:row>
    <x:row r="189" spans="1:14" customFormat="1" ht="18" hidden="1" customHeight="1">
      <x:c r="A189" s="15" t="s">
        <x:v>180</x:v>
      </x:c>
      <x:c r="B189" s="14" t="s">
        <x:v>229</x:v>
      </x:c>
      <x:c r="C189" s="1">
        <x:v>1</x:v>
      </x:c>
      <x:c r="D189" s="14" t="s">
        <x:v>22</x:v>
      </x:c>
      <x:c r="E189" s="6" t="s">
        <x:v>37</x:v>
      </x:c>
      <x:c r="F189" s="7">
        <x:f>'2026.9.8'!K187</x:f>
        <x:v>0</x:v>
      </x:c>
      <x:c r="G189" s="1">
        <x:f>H25*C189</x:f>
        <x:v>0</x:v>
      </x:c>
      <x:c r="H189" s="1"/>
      <x:c r="I189" s="1"/>
      <x:c r="J189" s="12">
        <x:f>F189+I189-G189-H189</x:f>
        <x:v>0</x:v>
      </x:c>
      <x:c r="K189" s="13">
        <x:f>J189/C189</x:f>
        <x:v>0</x:v>
      </x:c>
      <x:c r="L189" s="25">
        <x:f>IF(K189&lt;=10,119,"")</x:f>
        <x:v>119</x:v>
      </x:c>
      <x:c r="N189" s="1"/>
    </x:row>
    <x:row r="190" spans="1:14" customFormat="1" ht="18" hidden="1" customHeight="1">
      <x:c r="A190" s="15" t="s">
        <x:v>180</x:v>
      </x:c>
      <x:c r="B190" s="14" t="s">
        <x:v>229</x:v>
      </x:c>
      <x:c r="C190" s="1">
        <x:v>1</x:v>
      </x:c>
      <x:c r="D190" s="14" t="s">
        <x:v>96</x:v>
      </x:c>
      <x:c r="E190" s="6" t="s">
        <x:v>118</x:v>
      </x:c>
      <x:c r="F190" s="7">
        <x:f>'2026.9.8'!K188</x:f>
        <x:v>2</x:v>
      </x:c>
      <x:c r="G190" s="1">
        <x:f>H26*C190</x:f>
        <x:v>0</x:v>
      </x:c>
      <x:c r="H190" s="1"/>
      <x:c r="I190" s="1"/>
      <x:c r="J190" s="12">
        <x:f>F190+I190-G190-H190</x:f>
        <x:v>2</x:v>
      </x:c>
      <x:c r="K190" s="13">
        <x:f>J190/C190</x:f>
        <x:v>2</x:v>
      </x:c>
      <x:c r="L190" s="25">
        <x:f>IF(K190&lt;=10,119,"")</x:f>
        <x:v>119</x:v>
      </x:c>
      <x:c r="N190" s="1"/>
    </x:row>
    <x:row r="191" spans="1:14" hidden="1" customHeight="1">
      <x:c r="A191" s="15" t="s">
        <x:v>163</x:v>
      </x:c>
      <x:c r="B191" s="14" t="s">
        <x:v>143</x:v>
      </x:c>
      <x:c r="C191" s="2">
        <x:v>16</x:v>
      </x:c>
      <x:c r="D191" s="9" t="s">
        <x:v>268</x:v>
      </x:c>
      <x:c r="E191" s="24" t="s">
        <x:v>35</x:v>
      </x:c>
      <x:c r="F191" s="7">
        <x:f>'2026.9.8'!K189</x:f>
        <x:v>916</x:v>
      </x:c>
      <x:c r="G191" s="1">
        <x:f>SUM(H7:H16)*16+SUM(H18:H21)*8</x:f>
        <x:v>0</x:v>
      </x:c>
      <x:c r="J191" s="12">
        <x:f>F191+I191-G191-H191</x:f>
        <x:v>916</x:v>
      </x:c>
      <x:c r="K191" s="13">
        <x:f>J191/C191</x:f>
        <x:v>57.25</x:v>
      </x:c>
      <x:c r="L191" s="25" t="str">
        <x:f>IF(K191&lt;=10,119,"")</x:f>
        <x:v/>
      </x:c>
      <x:c r="N191"/>
    </x:row>
    <x:row r="192" spans="1:14" hidden="1">
      <x:c r="A192" s="15" t="s">
        <x:v>163</x:v>
      </x:c>
      <x:c r="B192" s="14" t="s">
        <x:v>143</x:v>
      </x:c>
      <x:c r="C192" s="2">
        <x:v>8</x:v>
      </x:c>
      <x:c r="D192" s="9" t="s">
        <x:v>268</x:v>
      </x:c>
      <x:c r="E192" s="1" t="s">
        <x:v>54</x:v>
      </x:c>
      <x:c r="F192" s="7">
        <x:f>'2026.9.8'!K190</x:f>
        <x:v>1190</x:v>
      </x:c>
      <x:c r="G192" s="1">
        <x:f>SUM(H7:H16)*8+SUM(H18:H21)*8</x:f>
        <x:v>0</x:v>
      </x:c>
      <x:c r="J192" s="12">
        <x:f>F192+I192-G192-H192</x:f>
        <x:v>1190</x:v>
      </x:c>
      <x:c r="K192" s="13">
        <x:f>J192/C192</x:f>
        <x:v>148.75</x:v>
      </x:c>
      <x:c r="L192" s="25" t="str">
        <x:f>IF(K192&lt;=10,119,"")</x:f>
        <x:v/>
      </x:c>
      <x:c r="N192"/>
    </x:row>
    <x:row r="193" spans="1:14" hidden="1">
      <x:c r="A193" s="15" t="s">
        <x:v>163</x:v>
      </x:c>
      <x:c r="B193" s="14" t="s">
        <x:v>143</x:v>
      </x:c>
      <x:c r="C193" s="2">
        <x:v>8</x:v>
      </x:c>
      <x:c r="D193" s="9" t="s">
        <x:v>70</x:v>
      </x:c>
      <x:c r="E193" s="1" t="s">
        <x:v>20</x:v>
      </x:c>
      <x:c r="F193" s="7">
        <x:f>'2026.9.8'!K191</x:f>
        <x:v>740</x:v>
      </x:c>
      <x:c r="G193" s="1">
        <x:f>SUM(H22)*C193</x:f>
        <x:v>0</x:v>
      </x:c>
      <x:c r="J193" s="12">
        <x:f>F193+I193-G193-H193</x:f>
        <x:v>740</x:v>
      </x:c>
      <x:c r="K193" s="13">
        <x:f>J193/C193</x:f>
        <x:v>92.5</x:v>
      </x:c>
      <x:c r="L193" s="25" t="str">
        <x:f>IF(K193&lt;=10,119,"")</x:f>
        <x:v/>
      </x:c>
      <x:c r="N193"/>
    </x:row>
    <x:row r="194" spans="1:14" hidden="1">
      <x:c r="A194" s="15" t="s">
        <x:v>163</x:v>
      </x:c>
      <x:c r="B194" s="14" t="s">
        <x:v>143</x:v>
      </x:c>
      <x:c r="C194" s="2">
        <x:v>8</x:v>
      </x:c>
      <x:c r="D194" s="9" t="s">
        <x:v>249</x:v>
      </x:c>
      <x:c r="E194" s="1" t="s">
        <x:v>58</x:v>
      </x:c>
      <x:c r="F194" s="7">
        <x:f>'2026.9.8'!K192</x:f>
        <x:v>130</x:v>
      </x:c>
      <x:c r="G194" s="1">
        <x:f>SUM(H18:H21)*C194</x:f>
        <x:v>0</x:v>
      </x:c>
      <x:c r="J194" s="12">
        <x:f>F194+I194-G194-H194</x:f>
        <x:v>130</x:v>
      </x:c>
      <x:c r="K194" s="13">
        <x:f>J194/C194</x:f>
        <x:v>16.25</x:v>
      </x:c>
      <x:c r="L194" s="25" t="str">
        <x:f>IF(K194&lt;=10,119,"")</x:f>
        <x:v/>
      </x:c>
      <x:c r="N194"/>
    </x:row>
    <x:row r="195" spans="1:14" hidden="1">
      <x:c r="A195" s="15" t="s">
        <x:v>163</x:v>
      </x:c>
      <x:c r="B195" s="14" t="s">
        <x:v>143</x:v>
      </x:c>
      <x:c r="C195" s="2">
        <x:v>8</x:v>
      </x:c>
      <x:c r="D195" s="9" t="s">
        <x:v>70</x:v>
      </x:c>
      <x:c r="E195" s="1" t="s">
        <x:v>77</x:v>
      </x:c>
      <x:c r="F195" s="7">
        <x:f>'2026.9.8'!K193</x:f>
        <x:v>440</x:v>
      </x:c>
      <x:c r="G195" s="1">
        <x:f>H22*8</x:f>
        <x:v>0</x:v>
      </x:c>
      <x:c r="J195" s="12">
        <x:f>F195+I195-G195-H195</x:f>
        <x:v>440</x:v>
      </x:c>
      <x:c r="K195" s="13">
        <x:f>J195/C195</x:f>
        <x:v>55</x:v>
      </x:c>
      <x:c r="L195" s="25" t="str">
        <x:f>IF(K195&lt;=10,119,"")</x:f>
        <x:v/>
      </x:c>
      <x:c r="N195"/>
    </x:row>
    <x:row r="196" spans="1:12" hidden="1">
      <x:c r="A196" s="15" t="s">
        <x:v>163</x:v>
      </x:c>
      <x:c r="B196" s="14" t="s">
        <x:v>143</x:v>
      </x:c>
      <x:c r="C196" s="2">
        <x:v>8</x:v>
      </x:c>
      <x:c r="D196" s="9" t="s">
        <x:v>277</x:v>
      </x:c>
      <x:c r="E196" s="1" t="s">
        <x:v>28</x:v>
      </x:c>
      <x:c r="F196" s="7">
        <x:f>'2026.9.8'!K194</x:f>
        <x:v>449</x:v>
      </x:c>
      <x:c r="G196" s="1">
        <x:f>SUM(H22,J10)*C196</x:f>
        <x:v>24</x:v>
      </x:c>
      <x:c r="J196" s="12">
        <x:f>F196+I196-G196-H196</x:f>
        <x:v>425</x:v>
      </x:c>
      <x:c r="K196" s="13">
        <x:f>J196/C196</x:f>
        <x:v>53.125</x:v>
      </x:c>
      <x:c r="L196" s="25" t="str">
        <x:f>IF(K196&lt;=10,119,"")</x:f>
        <x:v/>
      </x:c>
    </x:row>
    <x:row r="197" spans="1:14" customFormat="1" hidden="1">
      <x:c r="A197" s="15" t="s">
        <x:v>163</x:v>
      </x:c>
      <x:c r="B197" s="14">
        <x:v>10.9</x:v>
      </x:c>
      <x:c r="C197" s="2">
        <x:v>4</x:v>
      </x:c>
      <x:c r="D197" s="14" t="s">
        <x:v>244</x:v>
      </x:c>
      <x:c r="E197" s="1" t="s">
        <x:v>213</x:v>
      </x:c>
      <x:c r="F197" s="7">
        <x:f>'2026.9.8'!K195</x:f>
        <x:v>26</x:v>
      </x:c>
      <x:c r="G197" s="1">
        <x:f>H23*C197</x:f>
        <x:v>0</x:v>
      </x:c>
      <x:c r="H197" s="1"/>
      <x:c r="I197" s="1"/>
      <x:c r="J197" s="12">
        <x:f>F197+I197-G197-H197</x:f>
        <x:v>26</x:v>
      </x:c>
      <x:c r="K197" s="13">
        <x:f>J197/C197</x:f>
        <x:v>6.5</x:v>
      </x:c>
      <x:c r="L197" s="25">
        <x:f>IF(K197&lt;=10,119,"")</x:f>
        <x:v>119</x:v>
      </x:c>
      <x:c r="N197" s="1"/>
    </x:row>
    <x:row r="198" spans="1:14" customFormat="1" hidden="1">
      <x:c r="A198" s="15" t="s">
        <x:v>163</x:v>
      </x:c>
      <x:c r="B198" s="14">
        <x:v>10.9</x:v>
      </x:c>
      <x:c r="C198" s="2">
        <x:v>4</x:v>
      </x:c>
      <x:c r="D198" s="14" t="s">
        <x:v>276</x:v>
      </x:c>
      <x:c r="E198" s="1" t="s">
        <x:v>210</x:v>
      </x:c>
      <x:c r="F198" s="7">
        <x:f>'2026.9.8'!K196</x:f>
        <x:v>3</x:v>
      </x:c>
      <x:c r="G198" s="1">
        <x:f>SUM(H23:H24)*C198</x:f>
        <x:v>0</x:v>
      </x:c>
      <x:c r="H198" s="1"/>
      <x:c r="I198" s="1"/>
      <x:c r="J198" s="12">
        <x:f>F198+I198-G198-H198</x:f>
        <x:v>3</x:v>
      </x:c>
      <x:c r="K198" s="13">
        <x:f>J198/C198</x:f>
        <x:v>0.75</x:v>
      </x:c>
      <x:c r="L198" s="25">
        <x:f>IF(K198&lt;=10,119,"")</x:f>
        <x:v>119</x:v>
      </x:c>
      <x:c r="N198" s="1"/>
    </x:row>
    <x:row r="199" spans="1:14" customFormat="1" hidden="1">
      <x:c r="A199" s="15" t="s">
        <x:v>163</x:v>
      </x:c>
      <x:c r="B199" s="14">
        <x:v>10.9</x:v>
      </x:c>
      <x:c r="C199" s="2">
        <x:v>4</x:v>
      </x:c>
      <x:c r="D199" s="14" t="s">
        <x:v>247</x:v>
      </x:c>
      <x:c r="E199" s="1" t="s">
        <x:v>224</x:v>
      </x:c>
      <x:c r="F199" s="7">
        <x:f>'2026.9.8'!K197</x:f>
        <x:v>6</x:v>
      </x:c>
      <x:c r="G199" s="1">
        <x:f>H24*C199</x:f>
        <x:v>0</x:v>
      </x:c>
      <x:c r="H199" s="1"/>
      <x:c r="I199" s="1"/>
      <x:c r="J199" s="12">
        <x:f>F199+I199-G199-H199</x:f>
        <x:v>6</x:v>
      </x:c>
      <x:c r="K199" s="13">
        <x:f>J199/C199</x:f>
        <x:v>1.5</x:v>
      </x:c>
      <x:c r="L199" s="25">
        <x:f>IF(K199&lt;=10,119,"")</x:f>
        <x:v>119</x:v>
      </x:c>
      <x:c r="N199" s="1"/>
    </x:row>
    <x:row r="200" spans="1:14" customFormat="1" hidden="1">
      <x:c r="A200" s="15" t="s">
        <x:v>163</x:v>
      </x:c>
      <x:c r="B200" s="14">
        <x:v>10.9</x:v>
      </x:c>
      <x:c r="C200" s="2">
        <x:v>4</x:v>
      </x:c>
      <x:c r="D200" s="14" t="s">
        <x:v>276</x:v>
      </x:c>
      <x:c r="E200" s="1" t="s">
        <x:v>226</x:v>
      </x:c>
      <x:c r="F200" s="7">
        <x:f>'2026.9.8'!K198</x:f>
        <x:v>2</x:v>
      </x:c>
      <x:c r="G200" s="1">
        <x:f>SUM(H23:H24)*C200</x:f>
        <x:v>0</x:v>
      </x:c>
      <x:c r="H200" s="1"/>
      <x:c r="I200" s="1"/>
      <x:c r="J200" s="12">
        <x:f>F200+I200-G200-H200</x:f>
        <x:v>2</x:v>
      </x:c>
      <x:c r="K200" s="13">
        <x:f>J200/C200</x:f>
        <x:v>0.5</x:v>
      </x:c>
      <x:c r="L200" s="25">
        <x:f>IF(K200&lt;=10,119,"")</x:f>
        <x:v>119</x:v>
      </x:c>
      <x:c r="N200" s="1"/>
    </x:row>
    <x:row r="201" spans="1:14" customFormat="1" hidden="1">
      <x:c r="A201" s="15" t="s">
        <x:v>163</x:v>
      </x:c>
      <x:c r="B201" s="14" t="s">
        <x:v>143</x:v>
      </x:c>
      <x:c r="C201" s="2">
        <x:v>8</x:v>
      </x:c>
      <x:c r="D201" s="14" t="s">
        <x:v>11</x:v>
      </x:c>
      <x:c r="E201" s="1" t="s">
        <x:v>209</x:v>
      </x:c>
      <x:c r="F201" s="7">
        <x:f>'2026.9.8'!K199</x:f>
        <x:v>23</x:v>
      </x:c>
      <x:c r="G201" s="1">
        <x:f>SUM(H25:H26)*C201</x:f>
        <x:v>0</x:v>
      </x:c>
      <x:c r="H201" s="1"/>
      <x:c r="I201" s="1"/>
      <x:c r="J201" s="12">
        <x:f>F201+I201-G201-H201</x:f>
        <x:v>23</x:v>
      </x:c>
      <x:c r="K201" s="13">
        <x:f>J201/C201</x:f>
        <x:v>2.875</x:v>
      </x:c>
      <x:c r="L201" s="25">
        <x:f>IF(K201&lt;=10,119,"")</x:f>
        <x:v>119</x:v>
      </x:c>
      <x:c r="N201" s="1"/>
    </x:row>
    <x:row r="202" spans="1:14" customFormat="1" hidden="1">
      <x:c r="A202" s="15" t="s">
        <x:v>163</x:v>
      </x:c>
      <x:c r="B202" s="14" t="s">
        <x:v>143</x:v>
      </x:c>
      <x:c r="C202" s="2">
        <x:v>20</x:v>
      </x:c>
      <x:c r="D202" s="14" t="s">
        <x:v>11</x:v>
      </x:c>
      <x:c r="E202" s="1" t="s">
        <x:v>217</x:v>
      </x:c>
      <x:c r="F202" s="7">
        <x:f>'2026.9.8'!K200</x:f>
        <x:v>114</x:v>
      </x:c>
      <x:c r="G202" s="1">
        <x:f>SUM(H25:H26)*C202</x:f>
        <x:v>0</x:v>
      </x:c>
      <x:c r="H202" s="1"/>
      <x:c r="I202" s="1"/>
      <x:c r="J202" s="12">
        <x:f>F202+I202-G202-H202</x:f>
        <x:v>114</x:v>
      </x:c>
      <x:c r="K202" s="13">
        <x:f>J202/C202</x:f>
        <x:v>5.7000000000000002</x:v>
      </x:c>
      <x:c r="L202" s="25">
        <x:f>IF(K202&lt;=10,119,"")</x:f>
        <x:v>119</x:v>
      </x:c>
      <x:c r="N202" s="1"/>
    </x:row>
    <x:row r="203" spans="1:14" customFormat="1" hidden="1">
      <x:c r="A203" s="15" t="s">
        <x:v>163</x:v>
      </x:c>
      <x:c r="B203" s="14" t="s">
        <x:v>143</x:v>
      </x:c>
      <x:c r="C203" s="2">
        <x:v>8</x:v>
      </x:c>
      <x:c r="D203" s="14" t="s">
        <x:v>11</x:v>
      </x:c>
      <x:c r="E203" s="1" t="s">
        <x:v>228</x:v>
      </x:c>
      <x:c r="F203" s="7">
        <x:f>'2026.9.8'!K201</x:f>
        <x:v>36</x:v>
      </x:c>
      <x:c r="G203" s="1">
        <x:f>SUM(H25:H26)*C203</x:f>
        <x:v>0</x:v>
      </x:c>
      <x:c r="H203" s="1"/>
      <x:c r="I203" s="1"/>
      <x:c r="J203" s="12">
        <x:f>F203+I203-G203-H203</x:f>
        <x:v>36</x:v>
      </x:c>
      <x:c r="K203" s="13">
        <x:f>J203/C203</x:f>
        <x:v>4.5</x:v>
      </x:c>
      <x:c r="L203" s="25">
        <x:f>IF(K203&lt;=10,119,"")</x:f>
        <x:v>119</x:v>
      </x:c>
      <x:c r="N203" s="1"/>
    </x:row>
    <x:row r="204" spans="1:14">
      <x:c r="A204" s="15" t="s">
        <x:v>163</x:v>
      </x:c>
      <x:c r="B204" s="14" t="s">
        <x:v>143</x:v>
      </x:c>
      <x:c r="C204" s="2">
        <x:v>8</x:v>
      </x:c>
      <x:c r="D204" s="9" t="s">
        <x:v>47</x:v>
      </x:c>
      <x:c r="E204" s="1" t="s">
        <x:v>46</x:v>
      </x:c>
      <x:c r="F204" s="7">
        <x:f>'2026.9.8'!K202</x:f>
        <x:v>107</x:v>
      </x:c>
      <x:c r="G204" s="1">
        <x:f>J9*C204</x:f>
        <x:v>16</x:v>
      </x:c>
      <x:c r="J204" s="12">
        <x:f>F204+I204-G204-H204</x:f>
        <x:v>91</x:v>
      </x:c>
      <x:c r="K204" s="13">
        <x:f>J204/C204</x:f>
        <x:v>11.375</x:v>
      </x:c>
      <x:c r="L204" s="25" t="str">
        <x:f>IF(K204&lt;=10,119,"")</x:f>
        <x:v/>
      </x:c>
      <x:c r="N204"/>
    </x:row>
    <x:row r="205" spans="1:12">
      <x:c r="A205" s="15" t="s">
        <x:v>163</x:v>
      </x:c>
      <x:c r="B205" s="14" t="s">
        <x:v>143</x:v>
      </x:c>
      <x:c r="C205" s="2">
        <x:v>4</x:v>
      </x:c>
      <x:c r="D205" s="9" t="s">
        <x:v>275</x:v>
      </x:c>
      <x:c r="E205" s="1" t="s">
        <x:v>42</x:v>
      </x:c>
      <x:c r="F205" s="7">
        <x:f>'2026.9.8'!K203</x:f>
        <x:v>122</x:v>
      </x:c>
      <x:c r="G205" s="1">
        <x:f>SUM(J9:J10)*C205</x:f>
        <x:v>20</x:v>
      </x:c>
      <x:c r="J205" s="12">
        <x:f>F205+I205-G205-H205</x:f>
        <x:v>102</x:v>
      </x:c>
      <x:c r="K205" s="13">
        <x:f>J205/C205</x:f>
        <x:v>25.5</x:v>
      </x:c>
      <x:c r="L205" s="25" t="str">
        <x:f>IF(K205&lt;=10,119,"")</x:f>
        <x:v/>
      </x:c>
    </x:row>
    <x:row r="206" spans="1:14" hidden="1" customHeight="1">
      <x:c r="A206" s="15" t="s">
        <x:v>163</x:v>
      </x:c>
      <x:c r="B206" s="14" t="s">
        <x:v>137</x:v>
      </x:c>
      <x:c r="C206" s="2">
        <x:v>4</x:v>
      </x:c>
      <x:c r="D206" s="9" t="s">
        <x:v>83</x:v>
      </x:c>
      <x:c r="E206" s="1" t="s">
        <x:v>208</x:v>
      </x:c>
      <x:c r="F206" s="7">
        <x:f>'2026.9.8'!K204</x:f>
        <x:v>110</x:v>
      </x:c>
      <x:c r="G206" s="1">
        <x:f>J7*C206</x:f>
        <x:v>0</x:v>
      </x:c>
      <x:c r="J206" s="12">
        <x:f>F206+I206-G206-H206</x:f>
        <x:v>110</x:v>
      </x:c>
      <x:c r="K206" s="13">
        <x:f>J206/C206</x:f>
        <x:v>27.5</x:v>
      </x:c>
      <x:c r="L206" s="25" t="str">
        <x:f>IF(K206&lt;=10,119,"")</x:f>
        <x:v/>
      </x:c>
      <x:c r="N206"/>
    </x:row>
    <x:row r="207" spans="1:14" hidden="1">
      <x:c r="A207" s="15" t="s">
        <x:v>163</x:v>
      </x:c>
      <x:c r="B207" s="14" t="s">
        <x:v>137</x:v>
      </x:c>
      <x:c r="C207" s="2">
        <x:v>8</x:v>
      </x:c>
      <x:c r="D207" s="9" t="s">
        <x:v>83</x:v>
      </x:c>
      <x:c r="E207" s="1" t="s">
        <x:v>167</x:v>
      </x:c>
      <x:c r="F207" s="7">
        <x:f>'2026.9.8'!K205</x:f>
        <x:v>70</x:v>
      </x:c>
      <x:c r="G207" s="1">
        <x:f>J7*C207</x:f>
        <x:v>0</x:v>
      </x:c>
      <x:c r="J207" s="12">
        <x:f>F207+I207-G207-H207</x:f>
        <x:v>70</x:v>
      </x:c>
      <x:c r="K207" s="13">
        <x:f>J207/C207</x:f>
        <x:v>8.75</x:v>
      </x:c>
      <x:c r="L207" s="25">
        <x:f>IF(K207&lt;=10,119,"")</x:f>
        <x:v>119</x:v>
      </x:c>
      <x:c r="N207"/>
    </x:row>
    <x:row r="208" spans="1:14" customFormat="1" hidden="1">
      <x:c r="A208" s="15" t="s">
        <x:v>163</x:v>
      </x:c>
      <x:c r="B208" s="14" t="s">
        <x:v>137</x:v>
      </x:c>
      <x:c r="C208" s="2">
        <x:v>4</x:v>
      </x:c>
      <x:c r="D208" s="9" t="s">
        <x:v>41</x:v>
      </x:c>
      <x:c r="E208" s="1" t="s">
        <x:v>168</x:v>
      </x:c>
      <x:c r="F208" s="7">
        <x:f>'2026.9.8'!K206</x:f>
        <x:v>64</x:v>
      </x:c>
      <x:c r="G208" s="1">
        <x:f>J8*F208</x:f>
        <x:v>0</x:v>
      </x:c>
      <x:c r="H208" s="1"/>
      <x:c r="I208" s="1"/>
      <x:c r="J208" s="12">
        <x:f>F208+I208-G208-H208</x:f>
        <x:v>64</x:v>
      </x:c>
      <x:c r="K208" s="13">
        <x:f>J208/C208</x:f>
        <x:v>16</x:v>
      </x:c>
      <x:c r="L208" s="25" t="str">
        <x:f>IF(K208&lt;=10,119,"")</x:f>
        <x:v/>
      </x:c>
      <x:c r="N208" s="1"/>
    </x:row>
    <x:row r="209" spans="1:14" customFormat="1" hidden="1">
      <x:c r="A209" s="15" t="s">
        <x:v>163</x:v>
      </x:c>
      <x:c r="B209" s="14" t="s">
        <x:v>137</x:v>
      </x:c>
      <x:c r="C209" s="2">
        <x:v>8</x:v>
      </x:c>
      <x:c r="D209" s="9" t="s">
        <x:v>41</x:v>
      </x:c>
      <x:c r="E209" s="1" t="s">
        <x:v>139</x:v>
      </x:c>
      <x:c r="F209" s="7">
        <x:f>'2026.9.8'!K207</x:f>
        <x:v>49</x:v>
      </x:c>
      <x:c r="G209" s="1">
        <x:f>J8*C209</x:f>
        <x:v>0</x:v>
      </x:c>
      <x:c r="H209" s="1"/>
      <x:c r="I209" s="1"/>
      <x:c r="J209" s="12">
        <x:f>F209+I209-G209-H209</x:f>
        <x:v>49</x:v>
      </x:c>
      <x:c r="K209" s="13">
        <x:f>J209/C209</x:f>
        <x:v>6.125</x:v>
      </x:c>
      <x:c r="L209" s="25">
        <x:f>IF(K209&lt;=10,119,"")</x:f>
        <x:v>119</x:v>
      </x:c>
      <x:c r="N209" s="1"/>
    </x:row>
    <x:row r="210" spans="1:14" hidden="1">
      <x:c r="A210" s="11" t="s">
        <x:v>290</x:v>
      </x:c>
      <x:c r="B210" s="9" t="s">
        <x:v>143</x:v>
      </x:c>
      <x:c r="C210" s="1">
        <x:v>24</x:v>
      </x:c>
      <x:c r="D210" s="9" t="s">
        <x:v>262</x:v>
      </x:c>
      <x:c r="E210" s="1" t="s">
        <x:v>205</x:v>
      </x:c>
      <x:c r="F210" s="7">
        <x:f>'2026.9.8'!K208</x:f>
        <x:v>2640</x:v>
      </x:c>
      <x:c r="G210" s="1">
        <x:f>SUM(H7:H16)*C210</x:f>
        <x:v>0</x:v>
      </x:c>
      <x:c r="J210" s="12">
        <x:f>F210+I210-G210-H210</x:f>
        <x:v>2640</x:v>
      </x:c>
      <x:c r="K210" s="13">
        <x:f>J210/C210</x:f>
        <x:v>110</x:v>
      </x:c>
      <x:c r="L210" s="25" t="str">
        <x:f>IF(K210&lt;=10,119,"")</x:f>
        <x:v/>
      </x:c>
      <x:c r="N210"/>
    </x:row>
    <x:row r="211" spans="1:14" hidden="1">
      <x:c r="A211" s="11" t="s">
        <x:v>290</x:v>
      </x:c>
      <x:c r="B211" s="9" t="s">
        <x:v>143</x:v>
      </x:c>
      <x:c r="C211" s="1">
        <x:v>24</x:v>
      </x:c>
      <x:c r="D211" s="9" t="s">
        <x:v>249</x:v>
      </x:c>
      <x:c r="E211" s="1" t="s">
        <x:v>178</x:v>
      </x:c>
      <x:c r="F211" s="7">
        <x:f>'2026.9.8'!K209</x:f>
        <x:v>620</x:v>
      </x:c>
      <x:c r="G211" s="1">
        <x:f>SUM(H18:H21)*C211</x:f>
        <x:v>0</x:v>
      </x:c>
      <x:c r="J211" s="12">
        <x:f>F211+I211-G211-H211</x:f>
        <x:v>620</x:v>
      </x:c>
      <x:c r="K211" s="13">
        <x:f>J211/C211</x:f>
        <x:v>25.833333333333332</x:v>
      </x:c>
      <x:c r="L211" s="25" t="str">
        <x:f>IF(K211&lt;=10,119,"")</x:f>
        <x:v/>
      </x:c>
      <x:c r="N211"/>
    </x:row>
    <x:row r="212" spans="1:14" hidden="1">
      <x:c r="A212" s="11" t="s">
        <x:v>290</x:v>
      </x:c>
      <x:c r="B212" s="9" t="s">
        <x:v>143</x:v>
      </x:c>
      <x:c r="C212" s="1">
        <x:v>24</x:v>
      </x:c>
      <x:c r="D212" s="9" t="s">
        <x:v>245</x:v>
      </x:c>
      <x:c r="E212" s="1" t="s">
        <x:v>222</x:v>
      </x:c>
      <x:c r="F212" s="7">
        <x:f>'2026.9.8'!K210</x:f>
        <x:v>1500</x:v>
      </x:c>
      <x:c r="G212" s="1">
        <x:f>SUM(H7:H16)*24+SUM(H18:H21)*16+H22*12</x:f>
        <x:v>0</x:v>
      </x:c>
      <x:c r="J212" s="12">
        <x:f>F212+I212-G212-H212</x:f>
        <x:v>1500</x:v>
      </x:c>
      <x:c r="K212" s="13">
        <x:f>J212/C212</x:f>
        <x:v>62.5</x:v>
      </x:c>
      <x:c r="L212" s="25" t="str">
        <x:f>IF(K212&lt;=10,119,"")</x:f>
        <x:v/>
      </x:c>
      <x:c r="N212"/>
    </x:row>
    <x:row r="213" spans="1:14" hidden="1">
      <x:c r="A213" s="11" t="s">
        <x:v>290</x:v>
      </x:c>
      <x:c r="B213" s="9" t="s">
        <x:v>143</x:v>
      </x:c>
      <x:c r="C213" s="1">
        <x:v>16</x:v>
      </x:c>
      <x:c r="D213" s="9" t="s">
        <x:v>273</x:v>
      </x:c>
      <x:c r="E213" s="1" t="s">
        <x:v>169</x:v>
      </x:c>
      <x:c r="F213" s="7">
        <x:f>'2026.9.8'!K211</x:f>
        <x:v>1150</x:v>
      </x:c>
      <x:c r="G213" s="1">
        <x:f>SUM(H18:H21)*8+(H22*16)</x:f>
        <x:v>0</x:v>
      </x:c>
      <x:c r="J213" s="12">
        <x:f>F213+I213-G213-H213</x:f>
        <x:v>1150</x:v>
      </x:c>
      <x:c r="K213" s="13">
        <x:f>J213/C213</x:f>
        <x:v>71.875</x:v>
      </x:c>
      <x:c r="L213" s="25" t="str">
        <x:f>IF(K213&lt;=10,119,"")</x:f>
        <x:v/>
      </x:c>
      <x:c r="N213"/>
    </x:row>
    <x:row r="214" spans="1:14" hidden="1">
      <x:c r="A214" s="11" t="s">
        <x:v>290</x:v>
      </x:c>
      <x:c r="B214" s="9" t="s">
        <x:v>143</x:v>
      </x:c>
      <x:c r="C214" s="1">
        <x:v>8</x:v>
      </x:c>
      <x:c r="D214" s="9" t="s">
        <x:v>70</x:v>
      </x:c>
      <x:c r="E214" s="1" t="s">
        <x:v>188</x:v>
      </x:c>
      <x:c r="F214" s="7">
        <x:f>'2026.9.8'!K212</x:f>
        <x:v>900</x:v>
      </x:c>
      <x:c r="G214" s="1">
        <x:f>H22*C214</x:f>
        <x:v>0</x:v>
      </x:c>
      <x:c r="J214" s="12">
        <x:f>F214+I214-G214-H214</x:f>
        <x:v>900</x:v>
      </x:c>
      <x:c r="K214" s="13">
        <x:f>J214/C214</x:f>
        <x:v>112.5</x:v>
      </x:c>
      <x:c r="L214" s="25" t="str">
        <x:f>IF(K214&lt;=10,119,"")</x:f>
        <x:v/>
      </x:c>
      <x:c r="N214"/>
    </x:row>
    <x:row r="215" spans="1:14" customFormat="1" hidden="1">
      <x:c r="A215" s="11" t="s">
        <x:v>290</x:v>
      </x:c>
      <x:c r="B215" s="9">
        <x:v>10.9</x:v>
      </x:c>
      <x:c r="C215" s="1">
        <x:v>5</x:v>
      </x:c>
      <x:c r="D215" s="14" t="s">
        <x:v>276</x:v>
      </x:c>
      <x:c r="E215" s="1" t="s">
        <x:v>222</x:v>
      </x:c>
      <x:c r="F215" s="7">
        <x:f>'2026.9.8'!K213</x:f>
        <x:v>5</x:v>
      </x:c>
      <x:c r="G215" s="1">
        <x:f>SUM(H23:H24)*C215</x:f>
        <x:v>0</x:v>
      </x:c>
      <x:c r="H215" s="1"/>
      <x:c r="I215" s="1"/>
      <x:c r="J215" s="12">
        <x:f>F215+I215-G215-H215</x:f>
        <x:v>5</x:v>
      </x:c>
      <x:c r="K215" s="13">
        <x:f>J215/C215</x:f>
        <x:v>1</x:v>
      </x:c>
      <x:c r="L215" s="25">
        <x:f>IF(K215&lt;=10,119,"")</x:f>
        <x:v>119</x:v>
      </x:c>
      <x:c r="N215" s="1"/>
    </x:row>
    <x:row r="216" spans="1:14" customFormat="1" hidden="1">
      <x:c r="A216" s="11" t="s">
        <x:v>290</x:v>
      </x:c>
      <x:c r="B216" s="9" t="s">
        <x:v>143</x:v>
      </x:c>
      <x:c r="C216" s="1">
        <x:v>28</x:v>
      </x:c>
      <x:c r="D216" s="14" t="s">
        <x:v>11</x:v>
      </x:c>
      <x:c r="E216" s="1" t="s">
        <x:v>197</x:v>
      </x:c>
      <x:c r="F216" s="7">
        <x:f>'2026.9.8'!K214</x:f>
        <x:v>112</x:v>
      </x:c>
      <x:c r="G216" s="1">
        <x:f>SUM(H25:H26)*C216</x:f>
        <x:v>0</x:v>
      </x:c>
      <x:c r="H216" s="1"/>
      <x:c r="I216" s="1"/>
      <x:c r="J216" s="12">
        <x:f>F216+I216-G216-H216</x:f>
        <x:v>112</x:v>
      </x:c>
      <x:c r="K216" s="13">
        <x:f>J216/C216</x:f>
        <x:v>4</x:v>
      </x:c>
      <x:c r="L216" s="25">
        <x:f>IF(K216&lt;=10,119,"")</x:f>
        <x:v>119</x:v>
      </x:c>
      <x:c r="N216" s="1"/>
    </x:row>
    <x:row r="217" spans="1:12" hidden="1">
      <x:c r="A217" s="11" t="s">
        <x:v>290</x:v>
      </x:c>
      <x:c r="B217" s="9" t="s">
        <x:v>143</x:v>
      </x:c>
      <x:c r="C217" s="1">
        <x:v>12</x:v>
      </x:c>
      <x:c r="D217" s="9" t="s">
        <x:v>275</x:v>
      </x:c>
      <x:c r="E217" s="1" t="s">
        <x:v>187</x:v>
      </x:c>
      <x:c r="F217" s="7">
        <x:f>'2026.9.8'!K215</x:f>
        <x:v>316</x:v>
      </x:c>
      <x:c r="G217" s="1">
        <x:f>SUM(J9:J10)*C217</x:f>
        <x:v>60</x:v>
      </x:c>
      <x:c r="J217" s="12">
        <x:f>F217+I217-G217-H217</x:f>
        <x:v>256</x:v>
      </x:c>
      <x:c r="K217" s="13">
        <x:f>J217/C217</x:f>
        <x:v>21.333333333333332</x:v>
      </x:c>
      <x:c r="L217" s="25" t="str">
        <x:f>IF(K217&lt;=10,119,"")</x:f>
        <x:v/>
      </x:c>
    </x:row>
    <x:row r="218" spans="1:14" hidden="1">
      <x:c r="A218" s="11" t="s">
        <x:v>290</x:v>
      </x:c>
      <x:c r="B218" s="9" t="s">
        <x:v>137</x:v>
      </x:c>
      <x:c r="C218" s="1">
        <x:v>12</x:v>
      </x:c>
      <x:c r="D218" s="9" t="s">
        <x:v>83</x:v>
      </x:c>
      <x:c r="E218" s="1" t="s">
        <x:v>169</x:v>
      </x:c>
      <x:c r="F218" s="7">
        <x:f>'2026.9.8'!K216</x:f>
        <x:v>320</x:v>
      </x:c>
      <x:c r="G218" s="1">
        <x:f>J7*C218</x:f>
        <x:v>0</x:v>
      </x:c>
      <x:c r="J218" s="12">
        <x:f>F218+I218-G218-H218</x:f>
        <x:v>320</x:v>
      </x:c>
      <x:c r="K218" s="13">
        <x:f>J218/C218</x:f>
        <x:v>26.666666666666668</x:v>
      </x:c>
      <x:c r="L218" s="25" t="str">
        <x:f>IF(K218&lt;=10,119,"")</x:f>
        <x:v/>
      </x:c>
      <x:c r="N218"/>
    </x:row>
    <x:row r="219" spans="1:14" hidden="1">
      <x:c r="A219" s="11" t="s">
        <x:v>290</x:v>
      </x:c>
      <x:c r="B219" s="9" t="s">
        <x:v>137</x:v>
      </x:c>
      <x:c r="C219" s="1">
        <x:v>12</x:v>
      </x:c>
      <x:c r="D219" s="9" t="s">
        <x:v>41</x:v>
      </x:c>
      <x:c r="E219" s="1" t="s">
        <x:v>187</x:v>
      </x:c>
      <x:c r="F219" s="7">
        <x:f>'2026.9.8'!K217</x:f>
        <x:v>120</x:v>
      </x:c>
      <x:c r="G219" s="1">
        <x:f>J8*C219</x:f>
        <x:v>0</x:v>
      </x:c>
      <x:c r="J219" s="12">
        <x:f>F219+I219-G219-H219</x:f>
        <x:v>120</x:v>
      </x:c>
      <x:c r="K219" s="13">
        <x:f>J219/C219</x:f>
        <x:v>10</x:v>
      </x:c>
      <x:c r="L219" s="25">
        <x:f>IF(K219&lt;=10,119,"")</x:f>
        <x:v>119</x:v>
      </x:c>
      <x:c r="N219"/>
    </x:row>
    <x:row r="220" spans="1:14" hidden="1">
      <x:c r="A220" s="11" t="s">
        <x:v>231</x:v>
      </x:c>
      <x:c r="B220" s="9" t="s">
        <x:v>143</x:v>
      </x:c>
      <x:c r="C220" s="1">
        <x:v>8</x:v>
      </x:c>
      <x:c r="D220" s="9" t="s">
        <x:v>262</x:v>
      </x:c>
      <x:c r="E220" s="1" t="s">
        <x:v>134</x:v>
      </x:c>
      <x:c r="F220" s="7">
        <x:f>'2026.9.8'!K218</x:f>
        <x:v>2400</x:v>
      </x:c>
      <x:c r="G220" s="1">
        <x:f>SUM(H7:H16)*C220</x:f>
        <x:v>0</x:v>
      </x:c>
      <x:c r="J220" s="12">
        <x:f>F220+I220-G220-H220</x:f>
        <x:v>2400</x:v>
      </x:c>
      <x:c r="K220" s="13">
        <x:f>J220/C220</x:f>
        <x:v>300</x:v>
      </x:c>
      <x:c r="L220" s="25" t="str">
        <x:f>IF(K220&lt;=10,119,"")</x:f>
        <x:v/>
      </x:c>
      <x:c r="N220"/>
    </x:row>
    <x:row r="221" spans="1:14" hidden="1">
      <x:c r="A221" s="11" t="s">
        <x:v>231</x:v>
      </x:c>
      <x:c r="B221" s="9" t="s">
        <x:v>143</x:v>
      </x:c>
      <x:c r="C221" s="1">
        <x:v>4</x:v>
      </x:c>
      <x:c r="D221" s="9" t="s">
        <x:v>249</x:v>
      </x:c>
      <x:c r="E221" s="1" t="s">
        <x:v>135</x:v>
      </x:c>
      <x:c r="F221" s="7">
        <x:f>'2026.9.8'!K219</x:f>
        <x:v>1000</x:v>
      </x:c>
      <x:c r="G221" s="1">
        <x:f>SUM(H18:H21)*C221</x:f>
        <x:v>0</x:v>
      </x:c>
      <x:c r="J221" s="12">
        <x:f>F221+I221-G221-H221</x:f>
        <x:v>1000</x:v>
      </x:c>
      <x:c r="K221" s="13">
        <x:f>J221/C221</x:f>
        <x:v>250</x:v>
      </x:c>
      <x:c r="L221" s="25" t="str">
        <x:f>IF(K221&lt;=10,119,"")</x:f>
        <x:v/>
      </x:c>
      <x:c r="N221"/>
    </x:row>
    <x:row r="222" spans="1:14" hidden="1">
      <x:c r="A222" s="11" t="s">
        <x:v>231</x:v>
      </x:c>
      <x:c r="B222" s="9" t="s">
        <x:v>143</x:v>
      </x:c>
      <x:c r="C222" s="1">
        <x:v>24</x:v>
      </x:c>
      <x:c r="D222" s="9" t="s">
        <x:v>245</x:v>
      </x:c>
      <x:c r="E222" s="1" t="s">
        <x:v>158</x:v>
      </x:c>
      <x:c r="F222" s="7">
        <x:f>'2026.9.8'!K220</x:f>
        <x:v>2200</x:v>
      </x:c>
      <x:c r="G222" s="1">
        <x:f>SUM(H7:H16)*24+SUM(H18:H21)*16+SUM(H22)*4</x:f>
        <x:v>0</x:v>
      </x:c>
      <x:c r="J222" s="12">
        <x:f>F222+I222-G222-H222</x:f>
        <x:v>2200</x:v>
      </x:c>
      <x:c r="K222" s="13">
        <x:f>J222/C222</x:f>
        <x:v>91.666666666666671</x:v>
      </x:c>
      <x:c r="L222" s="25" t="str">
        <x:f>IF(K222&lt;=10,119,"")</x:f>
        <x:v/>
      </x:c>
      <x:c r="N222"/>
    </x:row>
    <x:row r="223" spans="1:14" hidden="1">
      <x:c r="A223" s="11" t="s">
        <x:v>231</x:v>
      </x:c>
      <x:c r="B223" s="9" t="s">
        <x:v>143</x:v>
      </x:c>
      <x:c r="C223" s="1">
        <x:v>18</x:v>
      </x:c>
      <x:c r="D223" s="9" t="s">
        <x:v>273</x:v>
      </x:c>
      <x:c r="E223" s="1" t="s">
        <x:v>173</x:v>
      </x:c>
      <x:c r="F223" s="7">
        <x:f>'2026.9.8'!K221</x:f>
        <x:v>1900</x:v>
      </x:c>
      <x:c r="G223" s="1">
        <x:f>SUM(H18:H21)*8+SUM(H22)*16</x:f>
        <x:v>0</x:v>
      </x:c>
      <x:c r="J223" s="12">
        <x:f>F223+I223-G223-H223</x:f>
        <x:v>1900</x:v>
      </x:c>
      <x:c r="K223" s="13">
        <x:f>J223/C223</x:f>
        <x:v>105.55555555555556</x:v>
      </x:c>
      <x:c r="L223" s="25" t="str">
        <x:f>IF(K223&lt;=10,119,"")</x:f>
        <x:v/>
      </x:c>
      <x:c r="N223"/>
    </x:row>
    <x:row r="224" spans="1:14" customFormat="1" hidden="1">
      <x:c r="A224" s="11" t="s">
        <x:v>231</x:v>
      </x:c>
      <x:c r="B224" s="9">
        <x:v>10.9</x:v>
      </x:c>
      <x:c r="C224" s="1">
        <x:v>4</x:v>
      </x:c>
      <x:c r="D224" s="14" t="s">
        <x:v>276</x:v>
      </x:c>
      <x:c r="E224" s="1" t="s">
        <x:v>173</x:v>
      </x:c>
      <x:c r="F224" s="7">
        <x:f>'2026.9.8'!K222</x:f>
        <x:v>2</x:v>
      </x:c>
      <x:c r="G224" s="1">
        <x:f>SUM(H23:H24)*C224</x:f>
        <x:v>0</x:v>
      </x:c>
      <x:c r="H224" s="1"/>
      <x:c r="I224" s="1"/>
      <x:c r="J224" s="12">
        <x:f>F224+I224-G224-H224</x:f>
        <x:v>2</x:v>
      </x:c>
      <x:c r="K224" s="13">
        <x:f>J224/C224</x:f>
        <x:v>0.5</x:v>
      </x:c>
      <x:c r="L224" s="25">
        <x:f>IF(K224&lt;=10,119,"")</x:f>
        <x:v>119</x:v>
      </x:c>
      <x:c r="N224" s="1"/>
    </x:row>
    <x:row r="225" spans="1:14" customFormat="1" hidden="1">
      <x:c r="A225" s="11" t="s">
        <x:v>231</x:v>
      </x:c>
      <x:c r="B225" s="9" t="s">
        <x:v>143</x:v>
      </x:c>
      <x:c r="C225" s="1">
        <x:v>36</x:v>
      </x:c>
      <x:c r="D225" s="14" t="s">
        <x:v>11</x:v>
      </x:c>
      <x:c r="E225" s="1" t="s">
        <x:v>174</x:v>
      </x:c>
      <x:c r="F225" s="7">
        <x:f>'2026.9.8'!K223</x:f>
        <x:v>110</x:v>
      </x:c>
      <x:c r="G225" s="1">
        <x:f>SUM(H25:H26)*C225</x:f>
        <x:v>0</x:v>
      </x:c>
      <x:c r="H225" s="1"/>
      <x:c r="I225" s="1"/>
      <x:c r="J225" s="12">
        <x:f>F225+I225-G225-H225</x:f>
        <x:v>110</x:v>
      </x:c>
      <x:c r="K225" s="13">
        <x:f>J225/C225</x:f>
        <x:v>3.0555555555555554</x:v>
      </x:c>
      <x:c r="L225" s="25">
        <x:f>IF(K225&lt;=10,119,"")</x:f>
        <x:v>119</x:v>
      </x:c>
      <x:c r="N225" s="1"/>
    </x:row>
    <x:row r="226" spans="1:14" hidden="1">
      <x:c r="A226" s="11" t="s">
        <x:v>231</x:v>
      </x:c>
      <x:c r="B226" s="9" t="s">
        <x:v>143</x:v>
      </x:c>
      <x:c r="C226" s="1">
        <x:v>8</x:v>
      </x:c>
      <x:c r="D226" s="9" t="s">
        <x:v>70</x:v>
      </x:c>
      <x:c r="E226" s="1" t="s">
        <x:v>184</x:v>
      </x:c>
      <x:c r="F226" s="7">
        <x:f>'2026.9.8'!K224</x:f>
        <x:v>930</x:v>
      </x:c>
      <x:c r="G226" s="1">
        <x:f>H22*C226</x:f>
        <x:v>0</x:v>
      </x:c>
      <x:c r="J226" s="12">
        <x:f>F226+I226-G226-H226</x:f>
        <x:v>930</x:v>
      </x:c>
      <x:c r="K226" s="13">
        <x:f>J226/C226</x:f>
        <x:v>116.25</x:v>
      </x:c>
      <x:c r="L226" s="25" t="str">
        <x:f>IF(K226&lt;=10,119,"")</x:f>
        <x:v/>
      </x:c>
      <x:c r="N226"/>
    </x:row>
    <x:row r="227" spans="1:12" hidden="1">
      <x:c r="A227" s="11" t="s">
        <x:v>14</x:v>
      </x:c>
      <x:c r="B227" s="9" t="s">
        <x:v>137</x:v>
      </x:c>
      <x:c r="C227" s="1">
        <x:v>14</x:v>
      </x:c>
      <x:c r="D227" s="9" t="s">
        <x:v>17</x:v>
      </x:c>
      <x:c r="E227" s="1" t="s">
        <x:v>166</x:v>
      </x:c>
      <x:c r="F227" s="7">
        <x:f>'2026.9.8'!K225</x:f>
        <x:v>156</x:v>
      </x:c>
      <x:c r="G227" s="1">
        <x:f>SUM(J7)*12+SUM(J8)*16+SUM(J9)*16+SUM(J10)*8</x:f>
        <x:v>56</x:v>
      </x:c>
      <x:c r="J227" s="12">
        <x:f>F227+I227-G227-H227</x:f>
        <x:v>100</x:v>
      </x:c>
      <x:c r="K227" s="13">
        <x:f>J227/C227</x:f>
        <x:v>7.1428571428571432</x:v>
      </x:c>
      <x:c r="L227" s="25">
        <x:f>IF(K227&lt;=10,119,"")</x:f>
        <x:v>119</x:v>
      </x:c>
    </x:row>
    <x:row r="228" spans="1:14" hidden="1">
      <x:c r="A228" s="11" t="s">
        <x:v>14</x:v>
      </x:c>
      <x:c r="B228" s="9" t="s">
        <x:v>137</x:v>
      </x:c>
      <x:c r="C228" s="1">
        <x:v>4</x:v>
      </x:c>
      <x:c r="D228" s="9" t="s">
        <x:v>83</x:v>
      </x:c>
      <x:c r="E228" s="1" t="s">
        <x:v>170</x:v>
      </x:c>
      <x:c r="F228" s="7">
        <x:f>'2026.9.8'!K226</x:f>
        <x:v>92</x:v>
      </x:c>
      <x:c r="G228" s="1">
        <x:f>J7*C228</x:f>
        <x:v>0</x:v>
      </x:c>
      <x:c r="J228" s="12">
        <x:f>F228+I228-G228-H228</x:f>
        <x:v>92</x:v>
      </x:c>
      <x:c r="K228" s="13">
        <x:f>J228/C228</x:f>
        <x:v>23</x:v>
      </x:c>
      <x:c r="L228" s="25" t="str">
        <x:f>IF(K228&lt;=10,119,"")</x:f>
        <x:v/>
      </x:c>
      <x:c r="N228"/>
    </x:row>
    <x:row r="229" spans="1:12" hidden="1">
      <x:c r="A229" s="11" t="s">
        <x:v>14</x:v>
      </x:c>
      <x:c r="B229" s="9" t="s">
        <x:v>137</x:v>
      </x:c>
      <x:c r="C229" s="1">
        <x:v>8</x:v>
      </x:c>
      <x:c r="D229" s="9" t="s">
        <x:v>73</x:v>
      </x:c>
      <x:c r="E229" s="1" t="s">
        <x:v>153</x:v>
      </x:c>
      <x:c r="F229" s="7">
        <x:f>'2026.9.8'!K227</x:f>
        <x:v>47</x:v>
      </x:c>
      <x:c r="G229" s="1">
        <x:f>J10*C229</x:f>
        <x:v>24</x:v>
      </x:c>
      <x:c r="J229" s="12">
        <x:f>F229+I229-G229-H229</x:f>
        <x:v>23</x:v>
      </x:c>
      <x:c r="K229" s="13">
        <x:f>J229/C229</x:f>
        <x:v>2.875</x:v>
      </x:c>
      <x:c r="L229" s="25">
        <x:f>IF(K229&lt;=10,119,"")</x:f>
        <x:v>119</x:v>
      </x:c>
    </x:row>
    <x:row r="230" spans="1:14" hidden="1">
      <x:c r="A230" s="11" t="s">
        <x:v>14</x:v>
      </x:c>
      <x:c r="B230" s="9" t="s">
        <x:v>181</x:v>
      </x:c>
      <x:c r="C230" s="1">
        <x:v>8</x:v>
      </x:c>
      <x:c r="D230" s="14" t="s">
        <x:v>276</x:v>
      </x:c>
      <x:c r="E230" s="1" t="s">
        <x:v>170</x:v>
      </x:c>
      <x:c r="F230" s="7">
        <x:f>'2026.9.8'!K228</x:f>
        <x:v>4</x:v>
      </x:c>
      <x:c r="G230" s="1">
        <x:f>SUM(H23:H24)*C230</x:f>
        <x:v>0</x:v>
      </x:c>
      <x:c r="J230" s="12">
        <x:f>F230+I230-G230-H230</x:f>
        <x:v>4</x:v>
      </x:c>
      <x:c r="K230" s="13">
        <x:f>J230/C230</x:f>
        <x:v>0.5</x:v>
      </x:c>
      <x:c r="L230" s="25">
        <x:f>IF(K230&lt;=10,119,"")</x:f>
        <x:v>119</x:v>
      </x:c>
      <x:c r="N230"/>
    </x:row>
  </x:sheetData>
  <x:autoFilter ref="A28:L230">
    <x:filterColumn colId="0">
      <x:filters>
        <x:filter val="BOLT"/>
      </x:filters>
    </x:filterColumn>
    <x:filterColumn colId="3">
      <x:filters>
        <x:filter val="ICER 800A"/>
        <x:filter val="ICER 800A/ICER 1000A공용"/>
      </x:filters>
    </x:filterColumn>
  </x:autoFilter>
  <x:mergeCells count="3">
    <x:mergeCell ref="A12:E18"/>
    <x:mergeCell ref="A19:E19"/>
    <x:mergeCell ref="G3:N3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 filterMode="1"/>
  <x:dimension ref="A2:N231"/>
  <x:sheetViews>
    <x:sheetView topLeftCell="A21" zoomScaleNormal="100" workbookViewId="0">
      <x:selection activeCell="F30" activeCellId="0" sqref="F30:F30"/>
    </x:sheetView>
  </x:sheetViews>
  <x:sheetFormatPr defaultColWidth="9.00390625" defaultRowHeight="17.800000000000001"/>
  <x:cols>
    <x:col min="1" max="1" width="19" style="10" customWidth="1"/>
    <x:col min="2" max="2" width="12.375" style="1" customWidth="1"/>
    <x:col min="3" max="3" width="8.25" style="1" customWidth="1"/>
    <x:col min="4" max="4" width="26.1953125" style="2" bestFit="1" customWidth="1"/>
    <x:col min="5" max="5" width="18.5" style="1" customWidth="1"/>
    <x:col min="6" max="6" width="10.125" style="1" customWidth="1"/>
    <x:col min="7" max="7" width="14.75" style="1" customWidth="1"/>
    <x:col min="8" max="8" width="12.52734375" style="1" bestFit="1" customWidth="1"/>
    <x:col min="9" max="9" width="13.25" style="1" customWidth="1"/>
    <x:col min="10" max="10" width="12.52734375" style="29" bestFit="1" customWidth="1"/>
    <x:col min="11" max="11" width="14.375" style="18" customWidth="1"/>
    <x:col min="12" max="12" width="14.109375" style="1" bestFit="1" customWidth="1"/>
    <x:col min="13" max="13" width="10.625" style="1" customWidth="1"/>
    <x:col min="14" max="14" width="10.25" style="1" customWidth="1"/>
  </x:cols>
  <x:sheetData>
    <x:row r="2" spans="1:14" customFormat="1">
      <x:c r="A2" s="10"/>
      <x:c r="B2" s="1"/>
      <x:c r="C2" s="1"/>
      <x:c r="D2" s="2"/>
      <x:c r="E2" s="1"/>
      <x:c r="F2" s="1"/>
      <x:c r="G2" s="1"/>
      <x:c r="H2" s="1"/>
      <x:c r="I2" s="1"/>
      <x:c r="J2" s="29"/>
      <x:c r="K2" s="18"/>
      <x:c r="L2" s="1"/>
      <x:c r="M2" s="1"/>
      <x:c r="N2" s="1"/>
    </x:row>
    <x:row r="3" spans="1:14" s="27" customFormat="1" ht="31.5" customHeight="1">
      <x:c r="A3" s="28"/>
      <x:c r="B3" s="28"/>
      <x:c r="C3" s="28"/>
      <x:c r="D3" s="28"/>
      <x:c r="E3" s="28"/>
      <x:c r="F3" s="28"/>
      <x:c r="G3" s="75" t="s">
        <x:v>1</x:v>
      </x:c>
      <x:c r="H3" s="75"/>
      <x:c r="I3" s="75"/>
      <x:c r="J3" s="75"/>
      <x:c r="K3" s="75"/>
      <x:c r="L3" s="75"/>
      <x:c r="M3" s="75"/>
      <x:c r="N3" s="75"/>
    </x:row>
    <x:row r="4" spans="1:14" customFormat="1" ht="17.25" customHeight="1">
      <x:c r="A4" s="10"/>
      <x:c r="B4" s="1"/>
      <x:c r="C4" s="1"/>
      <x:c r="D4" s="2"/>
      <x:c r="E4" s="1"/>
      <x:c r="F4" s="1"/>
      <x:c r="G4" s="16" t="s">
        <x:v>130</x:v>
      </x:c>
      <x:c r="H4" s="16" t="s">
        <x:v>142</x:v>
      </x:c>
      <x:c r="I4" s="16" t="s">
        <x:v>157</x:v>
      </x:c>
      <x:c r="J4" s="30" t="s">
        <x:v>142</x:v>
      </x:c>
      <x:c r="K4" s="16" t="s">
        <x:v>130</x:v>
      </x:c>
      <x:c r="L4" s="32" t="s">
        <x:v>283</x:v>
      </x:c>
      <x:c r="M4" s="16" t="s">
        <x:v>157</x:v>
      </x:c>
      <x:c r="N4" s="32" t="s">
        <x:v>283</x:v>
      </x:c>
    </x:row>
    <x:row r="5" spans="1:14" customFormat="1" ht="17.25" customHeight="1">
      <x:c r="A5" s="10"/>
      <x:c r="B5" s="1"/>
      <x:c r="C5" s="1"/>
      <x:c r="D5" s="2"/>
      <x:c r="E5" s="1"/>
      <x:c r="F5" s="1"/>
      <x:c r="G5" s="16" t="s">
        <x:v>23</x:v>
      </x:c>
      <x:c r="H5" s="16"/>
      <x:c r="I5" s="16"/>
      <x:c r="J5" s="16"/>
      <x:c r="K5" s="16" t="s">
        <x:v>23</x:v>
      </x:c>
      <x:c r="L5" s="32">
        <x:f>'2026.9.9'!L5+H5</x:f>
        <x:v>0</x:v>
      </x:c>
      <x:c r="M5" s="16"/>
      <x:c r="N5" s="32"/>
    </x:row>
    <x:row r="6" spans="1:14" customFormat="1" ht="17.25" customHeight="1">
      <x:c r="A6" s="10"/>
      <x:c r="B6" s="1"/>
      <x:c r="C6" s="1"/>
      <x:c r="D6" s="2"/>
      <x:c r="E6" s="1"/>
      <x:c r="F6" s="1"/>
      <x:c r="G6" s="16" t="s">
        <x:v>94</x:v>
      </x:c>
      <x:c r="H6" s="16"/>
      <x:c r="I6" s="16"/>
      <x:c r="J6" s="16"/>
      <x:c r="K6" s="16" t="s">
        <x:v>94</x:v>
      </x:c>
      <x:c r="L6" s="32">
        <x:f>'2026.9.9'!L6+H6</x:f>
        <x:v>0</x:v>
      </x:c>
      <x:c r="M6" s="16"/>
      <x:c r="N6" s="32"/>
    </x:row>
    <x:row r="7" spans="1:14" customFormat="1" ht="17.25" customHeight="1">
      <x:c r="A7" s="10"/>
      <x:c r="B7" s="1"/>
      <x:c r="C7" s="1"/>
      <x:c r="D7" s="2"/>
      <x:c r="E7" s="1"/>
      <x:c r="F7" s="1"/>
      <x:c r="G7" s="16" t="s">
        <x:v>27</x:v>
      </x:c>
      <x:c r="H7" s="16"/>
      <x:c r="I7" s="16" t="s">
        <x:v>83</x:v>
      </x:c>
      <x:c r="J7" s="16"/>
      <x:c r="K7" s="16" t="s">
        <x:v>27</x:v>
      </x:c>
      <x:c r="L7" s="32">
        <x:f>'2026.9.9'!L7+H7</x:f>
        <x:v>0</x:v>
      </x:c>
      <x:c r="M7" s="16" t="s">
        <x:v>83</x:v>
      </x:c>
      <x:c r="N7" s="32">
        <x:f>'2026.9.9'!N7+J7</x:f>
        <x:v>0</x:v>
      </x:c>
    </x:row>
    <x:row r="8" spans="1:14" customFormat="1" ht="17.25" customHeight="1">
      <x:c r="A8" s="10"/>
      <x:c r="B8" s="1"/>
      <x:c r="C8" s="1"/>
      <x:c r="D8" s="2"/>
      <x:c r="E8" s="1"/>
      <x:c r="F8" s="1"/>
      <x:c r="G8" s="16" t="s">
        <x:v>36</x:v>
      </x:c>
      <x:c r="H8" s="16"/>
      <x:c r="I8" s="16" t="s">
        <x:v>41</x:v>
      </x:c>
      <x:c r="J8" s="16"/>
      <x:c r="K8" s="16" t="s">
        <x:v>36</x:v>
      </x:c>
      <x:c r="L8" s="32">
        <x:f>'2026.9.9'!L8+H8</x:f>
        <x:v>0</x:v>
      </x:c>
      <x:c r="M8" s="16" t="s">
        <x:v>41</x:v>
      </x:c>
      <x:c r="N8" s="32">
        <x:f>'2026.9.9'!N8+J8</x:f>
        <x:v>0</x:v>
      </x:c>
    </x:row>
    <x:row r="9" spans="1:14" customFormat="1" ht="17.25" customHeight="1">
      <x:c r="A9" s="10"/>
      <x:c r="B9" s="1"/>
      <x:c r="C9" s="1"/>
      <x:c r="D9" s="2"/>
      <x:c r="E9" s="1"/>
      <x:c r="F9" s="1"/>
      <x:c r="G9" s="16" t="s">
        <x:v>55</x:v>
      </x:c>
      <x:c r="H9" s="16"/>
      <x:c r="I9" s="16" t="s">
        <x:v>47</x:v>
      </x:c>
      <x:c r="J9" s="16">
        <x:v>6</x:v>
      </x:c>
      <x:c r="K9" s="16" t="s">
        <x:v>55</x:v>
      </x:c>
      <x:c r="L9" s="32">
        <x:f>'2026.9.9'!L9+H9</x:f>
        <x:v>0</x:v>
      </x:c>
      <x:c r="M9" s="16" t="s">
        <x:v>47</x:v>
      </x:c>
      <x:c r="N9" s="32">
        <x:f>'2026.9.9'!N9+J9</x:f>
        <x:v>8</x:v>
      </x:c>
    </x:row>
    <x:row r="10" spans="1:14" customFormat="1" ht="17.25" customHeight="1">
      <x:c r="A10" s="10"/>
      <x:c r="B10" s="1"/>
      <x:c r="C10" s="1"/>
      <x:c r="D10" s="2"/>
      <x:c r="E10" s="1"/>
      <x:c r="F10" s="1"/>
      <x:c r="G10" s="16" t="s">
        <x:v>44</x:v>
      </x:c>
      <x:c r="H10" s="16"/>
      <x:c r="I10" s="16" t="s">
        <x:v>73</x:v>
      </x:c>
      <x:c r="J10" s="16"/>
      <x:c r="K10" s="16" t="s">
        <x:v>44</x:v>
      </x:c>
      <x:c r="L10" s="32">
        <x:f>'2026.9.9'!L10+H10</x:f>
        <x:v>0</x:v>
      </x:c>
      <x:c r="M10" s="16" t="s">
        <x:v>73</x:v>
      </x:c>
      <x:c r="N10" s="32">
        <x:f>'2026.9.9'!N10+J10</x:f>
        <x:v>4</x:v>
      </x:c>
    </x:row>
    <x:row r="11" spans="1:14" customFormat="1" ht="17.25" customHeight="1">
      <x:c r="A11" s="10"/>
      <x:c r="B11" s="1"/>
      <x:c r="C11" s="1"/>
      <x:c r="D11" s="2"/>
      <x:c r="E11" s="1"/>
      <x:c r="F11" s="1"/>
      <x:c r="G11" s="16" t="s">
        <x:v>255</x:v>
      </x:c>
      <x:c r="H11" s="16"/>
      <x:c r="I11" s="16"/>
      <x:c r="J11" s="16"/>
      <x:c r="K11" s="16" t="s">
        <x:v>255</x:v>
      </x:c>
      <x:c r="L11" s="32">
        <x:f>'2026.9.9'!L11+H11</x:f>
        <x:v>0</x:v>
      </x:c>
      <x:c r="M11" s="16"/>
      <x:c r="N11" s="32"/>
    </x:row>
    <x:row r="12" spans="1:14" customFormat="1" ht="17.25" customHeight="1">
      <x:c r="A12" s="66" t="s">
        <x:v>12</x:v>
      </x:c>
      <x:c r="B12" s="66"/>
      <x:c r="C12" s="66"/>
      <x:c r="D12" s="66"/>
      <x:c r="E12" s="66"/>
      <x:c r="F12" s="1"/>
      <x:c r="G12" s="16" t="s">
        <x:v>76</x:v>
      </x:c>
      <x:c r="H12" s="16"/>
      <x:c r="I12" s="16"/>
      <x:c r="J12" s="16"/>
      <x:c r="K12" s="16" t="s">
        <x:v>76</x:v>
      </x:c>
      <x:c r="L12" s="32">
        <x:f>'2026.9.9'!L12+H12</x:f>
        <x:v>0</x:v>
      </x:c>
      <x:c r="M12" s="16"/>
      <x:c r="N12" s="32"/>
    </x:row>
    <x:row r="13" spans="1:14" customFormat="1" ht="17.25" customHeight="1">
      <x:c r="A13" s="66"/>
      <x:c r="B13" s="66"/>
      <x:c r="C13" s="66"/>
      <x:c r="D13" s="66"/>
      <x:c r="E13" s="66"/>
      <x:c r="F13" s="1"/>
      <x:c r="G13" s="16" t="s">
        <x:v>33</x:v>
      </x:c>
      <x:c r="H13" s="16"/>
      <x:c r="I13" s="16"/>
      <x:c r="J13" s="16"/>
      <x:c r="K13" s="16" t="s">
        <x:v>33</x:v>
      </x:c>
      <x:c r="L13" s="32">
        <x:f>'2026.9.9'!L13+H13</x:f>
        <x:v>0</x:v>
      </x:c>
      <x:c r="M13" s="16"/>
      <x:c r="N13" s="32"/>
    </x:row>
    <x:row r="14" spans="1:14" customFormat="1" ht="17.25" customHeight="1">
      <x:c r="A14" s="66"/>
      <x:c r="B14" s="66"/>
      <x:c r="C14" s="66"/>
      <x:c r="D14" s="66"/>
      <x:c r="E14" s="66"/>
      <x:c r="F14" s="1"/>
      <x:c r="G14" s="16" t="s">
        <x:v>261</x:v>
      </x:c>
      <x:c r="H14" s="16"/>
      <x:c r="I14" s="16"/>
      <x:c r="J14" s="16"/>
      <x:c r="K14" s="16" t="s">
        <x:v>261</x:v>
      </x:c>
      <x:c r="L14" s="32">
        <x:f>'2026.9.9'!L14+H14</x:f>
        <x:v>0</x:v>
      </x:c>
      <x:c r="M14" s="16"/>
      <x:c r="N14" s="32"/>
    </x:row>
    <x:row r="15" spans="1:14" customFormat="1" ht="17.25" customHeight="1">
      <x:c r="A15" s="66"/>
      <x:c r="B15" s="66"/>
      <x:c r="C15" s="66"/>
      <x:c r="D15" s="66"/>
      <x:c r="E15" s="66"/>
      <x:c r="F15" s="1"/>
      <x:c r="G15" s="16" t="s">
        <x:v>43</x:v>
      </x:c>
      <x:c r="H15" s="16"/>
      <x:c r="I15" s="16"/>
      <x:c r="J15" s="16"/>
      <x:c r="K15" s="16" t="s">
        <x:v>43</x:v>
      </x:c>
      <x:c r="L15" s="32">
        <x:f>'2026.9.9'!L15+H15</x:f>
        <x:v>0</x:v>
      </x:c>
      <x:c r="M15" s="16"/>
      <x:c r="N15" s="32"/>
    </x:row>
    <x:row r="16" spans="1:14" ht="17.25" customHeight="1">
      <x:c r="A16" s="66"/>
      <x:c r="B16" s="66"/>
      <x:c r="C16" s="66"/>
      <x:c r="D16" s="66"/>
      <x:c r="E16" s="66"/>
      <x:c r="G16" s="16" t="s">
        <x:v>21</x:v>
      </x:c>
      <x:c r="H16" s="16"/>
      <x:c r="I16" s="16"/>
      <x:c r="J16" s="16"/>
      <x:c r="K16" s="16" t="s">
        <x:v>21</x:v>
      </x:c>
      <x:c r="L16" s="32">
        <x:f>'2026.9.9'!L16+H16</x:f>
        <x:v>0</x:v>
      </x:c>
      <x:c r="M16" s="16"/>
      <x:c r="N16" s="32"/>
    </x:row>
    <x:row r="17" spans="1:14" customFormat="1" ht="17.25" customHeight="1">
      <x:c r="A17" s="66"/>
      <x:c r="B17" s="66"/>
      <x:c r="C17" s="66"/>
      <x:c r="D17" s="66"/>
      <x:c r="E17" s="66"/>
      <x:c r="F17" s="1"/>
      <x:c r="G17" s="16" t="s">
        <x:v>265</x:v>
      </x:c>
      <x:c r="H17" s="16"/>
      <x:c r="I17" s="16"/>
      <x:c r="J17" s="16"/>
      <x:c r="K17" s="16" t="s">
        <x:v>265</x:v>
      </x:c>
      <x:c r="L17" s="32">
        <x:f>'2026.9.9'!L17+H17</x:f>
        <x:v>0</x:v>
      </x:c>
      <x:c r="M17" s="16"/>
      <x:c r="N17" s="32"/>
    </x:row>
    <x:row r="18" spans="1:14" ht="17.25" customHeight="1">
      <x:c r="A18" s="66"/>
      <x:c r="B18" s="66"/>
      <x:c r="C18" s="66"/>
      <x:c r="D18" s="66"/>
      <x:c r="E18" s="66"/>
      <x:c r="G18" s="16" t="s">
        <x:v>80</x:v>
      </x:c>
      <x:c r="H18" s="16"/>
      <x:c r="I18" s="16"/>
      <x:c r="J18" s="16"/>
      <x:c r="K18" s="16" t="s">
        <x:v>80</x:v>
      </x:c>
      <x:c r="L18" s="32">
        <x:f>'2026.9.9'!L18+H18</x:f>
        <x:v>0</x:v>
      </x:c>
      <x:c r="M18" s="16"/>
      <x:c r="N18" s="32"/>
    </x:row>
    <x:row r="19" spans="1:14" customFormat="1" ht="17.25" customHeight="1">
      <x:c r="A19" s="67"/>
      <x:c r="B19" s="67"/>
      <x:c r="C19" s="67"/>
      <x:c r="D19" s="67"/>
      <x:c r="E19" s="67"/>
      <x:c r="F19" s="1"/>
      <x:c r="G19" s="16" t="s">
        <x:v>101</x:v>
      </x:c>
      <x:c r="H19" s="16"/>
      <x:c r="I19" s="16"/>
      <x:c r="J19" s="16"/>
      <x:c r="K19" s="16" t="s">
        <x:v>101</x:v>
      </x:c>
      <x:c r="L19" s="32">
        <x:f>'2026.9.9'!L19+H19</x:f>
        <x:v>0</x:v>
      </x:c>
      <x:c r="M19" s="16"/>
      <x:c r="N19" s="32"/>
    </x:row>
    <x:row r="20" spans="7:14" ht="17.25" customHeight="1">
      <x:c r="G20" s="16" t="s">
        <x:v>31</x:v>
      </x:c>
      <x:c r="H20" s="16"/>
      <x:c r="I20" s="16"/>
      <x:c r="J20" s="16"/>
      <x:c r="K20" s="16" t="s">
        <x:v>31</x:v>
      </x:c>
      <x:c r="L20" s="32">
        <x:f>'2026.9.9'!L20+H20</x:f>
        <x:v>0</x:v>
      </x:c>
      <x:c r="M20" s="16"/>
      <x:c r="N20" s="32"/>
    </x:row>
    <x:row r="21" spans="7:14" ht="17.25" customHeight="1">
      <x:c r="G21" s="16" t="s">
        <x:v>75</x:v>
      </x:c>
      <x:c r="H21" s="16"/>
      <x:c r="I21" s="16"/>
      <x:c r="J21" s="16"/>
      <x:c r="K21" s="16" t="s">
        <x:v>75</x:v>
      </x:c>
      <x:c r="L21" s="32">
        <x:f>'2026.9.9'!L21+H21</x:f>
        <x:v>0</x:v>
      </x:c>
      <x:c r="M21" s="16"/>
      <x:c r="N21" s="32"/>
    </x:row>
    <x:row r="22" spans="7:14" ht="17.25" customHeight="1">
      <x:c r="G22" s="16" t="s">
        <x:v>70</x:v>
      </x:c>
      <x:c r="H22" s="16"/>
      <x:c r="I22" s="16"/>
      <x:c r="J22" s="16"/>
      <x:c r="K22" s="16" t="s">
        <x:v>70</x:v>
      </x:c>
      <x:c r="L22" s="32">
        <x:f>'2026.9.9'!L22+H22</x:f>
        <x:v>0</x:v>
      </x:c>
      <x:c r="M22" s="16"/>
      <x:c r="N22" s="32"/>
    </x:row>
    <x:row r="23" spans="1:14" customFormat="1" ht="17.25" customHeight="1">
      <x:c r="A23" s="10"/>
      <x:c r="B23" s="1"/>
      <x:c r="C23" s="1"/>
      <x:c r="D23" s="2"/>
      <x:c r="E23" s="1"/>
      <x:c r="F23" s="1"/>
      <x:c r="G23" s="16" t="s">
        <x:v>244</x:v>
      </x:c>
      <x:c r="H23" s="16"/>
      <x:c r="I23" s="16"/>
      <x:c r="J23" s="16"/>
      <x:c r="K23" s="16" t="s">
        <x:v>244</x:v>
      </x:c>
      <x:c r="L23" s="32">
        <x:f>'2026.9.9'!L23+H23</x:f>
        <x:v>0</x:v>
      </x:c>
      <x:c r="M23" s="16"/>
      <x:c r="N23" s="32"/>
    </x:row>
    <x:row r="24" spans="1:14" customFormat="1" ht="17.25" customHeight="1">
      <x:c r="A24" s="10"/>
      <x:c r="B24" s="1"/>
      <x:c r="C24" s="1"/>
      <x:c r="D24" s="2"/>
      <x:c r="E24" s="1"/>
      <x:c r="F24" s="1"/>
      <x:c r="G24" s="16" t="s">
        <x:v>247</x:v>
      </x:c>
      <x:c r="H24" s="16"/>
      <x:c r="I24" s="16"/>
      <x:c r="J24" s="16"/>
      <x:c r="K24" s="16" t="s">
        <x:v>247</x:v>
      </x:c>
      <x:c r="L24" s="32">
        <x:f>'2026.9.9'!L24+H24</x:f>
        <x:v>0</x:v>
      </x:c>
      <x:c r="M24" s="16"/>
      <x:c r="N24" s="32"/>
    </x:row>
    <x:row r="25" spans="1:14" customFormat="1" ht="17.25" customHeight="1">
      <x:c r="A25" s="10"/>
      <x:c r="B25" s="1"/>
      <x:c r="C25" s="1"/>
      <x:c r="D25" s="2"/>
      <x:c r="E25" s="1"/>
      <x:c r="F25" s="1"/>
      <x:c r="G25" s="16" t="s">
        <x:v>22</x:v>
      </x:c>
      <x:c r="H25" s="16"/>
      <x:c r="I25" s="16"/>
      <x:c r="J25" s="16"/>
      <x:c r="K25" s="16" t="s">
        <x:v>22</x:v>
      </x:c>
      <x:c r="L25" s="32">
        <x:f>'2026.9.9'!L25+H25</x:f>
        <x:v>1</x:v>
      </x:c>
      <x:c r="M25" s="16"/>
      <x:c r="N25" s="32"/>
    </x:row>
    <x:row r="26" spans="1:14" customFormat="1" ht="17.25" customHeight="1">
      <x:c r="A26" s="10"/>
      <x:c r="B26" s="1"/>
      <x:c r="C26" s="1"/>
      <x:c r="D26" s="2"/>
      <x:c r="E26" s="1"/>
      <x:c r="F26" s="1"/>
      <x:c r="G26" s="17" t="s">
        <x:v>96</x:v>
      </x:c>
      <x:c r="H26" s="16"/>
      <x:c r="I26" s="16"/>
      <x:c r="J26" s="16"/>
      <x:c r="K26" s="17" t="s">
        <x:v>96</x:v>
      </x:c>
      <x:c r="L26" s="32">
        <x:f>'2026.9.9'!L26+H26</x:f>
        <x:v>0</x:v>
      </x:c>
      <x:c r="M26" s="16"/>
      <x:c r="N26" s="32"/>
    </x:row>
    <x:row r="27" spans="1:14" customFormat="1">
      <x:c r="A27" s="10"/>
      <x:c r="B27" s="1"/>
      <x:c r="C27" s="1"/>
      <x:c r="D27" s="2"/>
      <x:c r="E27" s="1"/>
      <x:c r="F27" s="1"/>
      <x:c r="G27" s="17"/>
      <x:c r="H27" s="16"/>
      <x:c r="I27" s="16"/>
      <x:c r="J27" s="16"/>
      <x:c r="K27" s="17"/>
      <x:c r="L27" s="32">
        <x:f>SUM(L5:L26)</x:f>
        <x:v>1</x:v>
      </x:c>
      <x:c r="M27" s="16"/>
      <x:c r="N27" s="32">
        <x:f>SUM(N5:N26)</x:f>
        <x:v>12</x:v>
      </x:c>
    </x:row>
    <x:row r="28" spans="7:7">
      <x:c r="G28"/>
    </x:row>
    <x:row r="29" spans="1:14" s="8" customFormat="1" ht="29.25" customHeight="1">
      <x:c r="A29" s="11" t="s">
        <x:v>279</x:v>
      </x:c>
      <x:c r="B29" s="9" t="s">
        <x:v>287</x:v>
      </x:c>
      <x:c r="C29" s="9" t="s">
        <x:v>200</x:v>
      </x:c>
      <x:c r="D29" s="9" t="s">
        <x:v>198</x:v>
      </x:c>
      <x:c r="E29" s="9" t="s">
        <x:v>123</x:v>
      </x:c>
      <x:c r="F29" s="9" t="s">
        <x:v>127</x:v>
      </x:c>
      <x:c r="G29" s="9" t="s">
        <x:v>151</x:v>
      </x:c>
      <x:c r="H29" s="9" t="s">
        <x:v>128</x:v>
      </x:c>
      <x:c r="I29" s="9" t="s">
        <x:v>155</x:v>
      </x:c>
      <x:c r="J29" s="14" t="s">
        <x:v>154</x:v>
      </x:c>
      <x:c r="K29" s="23" t="s">
        <x:v>204</x:v>
      </x:c>
      <x:c r="L29" s="9" t="s">
        <x:v>183</x:v>
      </x:c>
      <x:c r="M29" s="9"/>
      <x:c r="N29" s="9"/>
    </x:row>
    <x:row r="30" spans="1:14" ht="18" customHeight="1">
      <x:c r="A30" s="15" t="s">
        <x:v>281</x:v>
      </x:c>
      <x:c r="B30" s="14" t="s">
        <x:v>189</x:v>
      </x:c>
      <x:c r="C30" s="6">
        <x:v>2</x:v>
      </x:c>
      <x:c r="D30" s="14" t="s">
        <x:v>268</x:v>
      </x:c>
      <x:c r="E30" s="1" t="s">
        <x:v>32</x:v>
      </x:c>
      <x:c r="F30" s="7">
        <x:f>'2026.9.9'!J29</x:f>
        <x:v>310</x:v>
      </x:c>
      <x:c r="G30" s="6">
        <x:f>SUM(H5:H21)*C30</x:f>
        <x:v>0</x:v>
      </x:c>
      <x:c r="H30" s="6"/>
      <x:c r="I30" s="6"/>
      <x:c r="J30" s="12">
        <x:f>F30+I30-G30-H30</x:f>
        <x:v>310</x:v>
      </x:c>
      <x:c r="K30" s="13">
        <x:f>J30/C30</x:f>
        <x:v>155</x:v>
      </x:c>
      <x:c r="L30" s="25" t="str">
        <x:f>IF(K30&lt;=10,119,"")</x:f>
        <x:v/>
      </x:c>
      <x:c r="M30"/>
      <x:c r="N30"/>
    </x:row>
    <x:row r="31" spans="1:14" ht="18" customHeight="1">
      <x:c r="A31" s="15" t="s">
        <x:v>281</x:v>
      </x:c>
      <x:c r="B31" s="14" t="s">
        <x:v>189</x:v>
      </x:c>
      <x:c r="C31" s="6">
        <x:v>2</x:v>
      </x:c>
      <x:c r="D31" s="14" t="s">
        <x:v>70</x:v>
      </x:c>
      <x:c r="E31" s="1" t="s">
        <x:v>65</x:v>
      </x:c>
      <x:c r="F31" s="7">
        <x:f>'2026.9.9'!J30</x:f>
        <x:v>240</x:v>
      </x:c>
      <x:c r="G31" s="6">
        <x:f>H22*C31</x:f>
        <x:v>0</x:v>
      </x:c>
      <x:c r="H31" s="6"/>
      <x:c r="I31" s="6"/>
      <x:c r="J31" s="12">
        <x:f>F31+I31-G31-H31</x:f>
        <x:v>240</x:v>
      </x:c>
      <x:c r="K31" s="13">
        <x:f>J31/C31</x:f>
        <x:v>120</x:v>
      </x:c>
      <x:c r="L31" s="25" t="str">
        <x:f>IF(K31&lt;=10,119,"")</x:f>
        <x:v/>
      </x:c>
      <x:c r="M31"/>
      <x:c r="N31"/>
    </x:row>
    <x:row r="32" spans="1:14" customFormat="1" ht="18" customHeight="1">
      <x:c r="A32" s="15" t="s">
        <x:v>281</x:v>
      </x:c>
      <x:c r="B32" s="14" t="s">
        <x:v>189</x:v>
      </x:c>
      <x:c r="C32" s="6">
        <x:v>2</x:v>
      </x:c>
      <x:c r="D32" s="14" t="s">
        <x:v>244</x:v>
      </x:c>
      <x:c r="E32" s="1" t="s">
        <x:v>32</x:v>
      </x:c>
      <x:c r="F32" s="7">
        <x:f>'2026.9.9'!J31</x:f>
        <x:v>17</x:v>
      </x:c>
      <x:c r="G32" s="6">
        <x:f>H23*C32</x:f>
        <x:v>0</x:v>
      </x:c>
      <x:c r="H32" s="6"/>
      <x:c r="I32" s="6"/>
      <x:c r="J32" s="12">
        <x:f>F32+I32-G32-H32</x:f>
        <x:v>17</x:v>
      </x:c>
      <x:c r="K32" s="13">
        <x:f>J32/C32</x:f>
        <x:v>8.5</x:v>
      </x:c>
      <x:c r="L32" s="25">
        <x:f>IF(K32&lt;=10,119,"")</x:f>
        <x:v>119</x:v>
      </x:c>
      <x:c r="M32" s="1"/>
      <x:c r="N32" s="1"/>
    </x:row>
    <x:row r="33" spans="1:14" customFormat="1" ht="18" customHeight="1">
      <x:c r="A33" s="15" t="s">
        <x:v>281</x:v>
      </x:c>
      <x:c r="B33" s="14" t="s">
        <x:v>189</x:v>
      </x:c>
      <x:c r="C33" s="6">
        <x:v>2</x:v>
      </x:c>
      <x:c r="D33" s="14" t="s">
        <x:v>247</x:v>
      </x:c>
      <x:c r="E33" s="1" t="s">
        <x:v>110</x:v>
      </x:c>
      <x:c r="F33" s="7">
        <x:f>'2026.9.9'!J32</x:f>
        <x:v>17</x:v>
      </x:c>
      <x:c r="G33" s="6">
        <x:f>H24*C33</x:f>
        <x:v>0</x:v>
      </x:c>
      <x:c r="H33" s="6"/>
      <x:c r="I33" s="6"/>
      <x:c r="J33" s="12">
        <x:f>F33+I33-G33-H33</x:f>
        <x:v>17</x:v>
      </x:c>
      <x:c r="K33" s="13">
        <x:f>J33/C33</x:f>
        <x:v>8.5</x:v>
      </x:c>
      <x:c r="L33" s="25">
        <x:f>IF(K33&lt;=10,119,"")</x:f>
        <x:v>119</x:v>
      </x:c>
      <x:c r="M33" s="1"/>
      <x:c r="N33" s="1"/>
    </x:row>
    <x:row r="34" spans="1:14" customFormat="1" ht="18" customHeight="1">
      <x:c r="A34" s="15" t="s">
        <x:v>281</x:v>
      </x:c>
      <x:c r="B34" s="14" t="s">
        <x:v>189</x:v>
      </x:c>
      <x:c r="C34" s="6">
        <x:v>2</x:v>
      </x:c>
      <x:c r="D34" s="14" t="s">
        <x:v>11</x:v>
      </x:c>
      <x:c r="E34" s="1" t="s">
        <x:v>103</x:v>
      </x:c>
      <x:c r="F34" s="7">
        <x:f>'2026.9.9'!J33</x:f>
        <x:v>4</x:v>
      </x:c>
      <x:c r="G34" s="6">
        <x:f>SUM(H25:H26)*C34</x:f>
        <x:v>0</x:v>
      </x:c>
      <x:c r="H34" s="6"/>
      <x:c r="I34" s="6"/>
      <x:c r="J34" s="12">
        <x:f>F34+I34-G34-H34</x:f>
        <x:v>4</x:v>
      </x:c>
      <x:c r="K34" s="13">
        <x:f>J34/C34</x:f>
        <x:v>2</x:v>
      </x:c>
      <x:c r="L34" s="25">
        <x:f>IF(K34&lt;=10,119,"")</x:f>
        <x:v>119</x:v>
      </x:c>
      <x:c r="M34" s="1"/>
      <x:c r="N34" s="1"/>
    </x:row>
    <x:row r="35" spans="1:14" customFormat="1" ht="18" customHeight="1">
      <x:c r="A35" s="15" t="s">
        <x:v>281</x:v>
      </x:c>
      <x:c r="B35" s="14" t="s">
        <x:v>143</x:v>
      </x:c>
      <x:c r="C35" s="6">
        <x:v>2</x:v>
      </x:c>
      <x:c r="D35" s="14" t="s">
        <x:v>83</x:v>
      </x:c>
      <x:c r="E35" s="7" t="s">
        <x:v>60</x:v>
      </x:c>
      <x:c r="F35" s="7">
        <x:f>'2026.9.9'!J34</x:f>
        <x:v>76</x:v>
      </x:c>
      <x:c r="G35" s="6">
        <x:f>J7*C35</x:f>
        <x:v>0</x:v>
      </x:c>
      <x:c r="H35" s="6"/>
      <x:c r="I35" s="6"/>
      <x:c r="J35" s="12">
        <x:f>F35+I35-G35-H35</x:f>
        <x:v>76</x:v>
      </x:c>
      <x:c r="K35" s="13">
        <x:f>J35/C35</x:f>
        <x:v>38</x:v>
      </x:c>
      <x:c r="L35" s="25" t="str">
        <x:f>IF(K35&lt;=10,119,"")</x:f>
        <x:v/>
      </x:c>
      <x:c r="M35" s="31"/>
      <x:c r="N35" s="1"/>
    </x:row>
    <x:row r="36" spans="1:14" customFormat="1" ht="18" customHeight="1">
      <x:c r="A36" s="15" t="s">
        <x:v>281</x:v>
      </x:c>
      <x:c r="B36" s="14" t="s">
        <x:v>143</x:v>
      </x:c>
      <x:c r="C36" s="6">
        <x:v>2</x:v>
      </x:c>
      <x:c r="D36" s="14" t="s">
        <x:v>41</x:v>
      </x:c>
      <x:c r="E36" s="7" t="s">
        <x:v>25</x:v>
      </x:c>
      <x:c r="F36" s="7">
        <x:f>'2026.9.9'!J35</x:f>
        <x:v>2</x:v>
      </x:c>
      <x:c r="G36" s="6">
        <x:f>J8*C36</x:f>
        <x:v>0</x:v>
      </x:c>
      <x:c r="H36" s="6"/>
      <x:c r="I36" s="6"/>
      <x:c r="J36" s="12">
        <x:f>F36+I36-G36-H36</x:f>
        <x:v>2</x:v>
      </x:c>
      <x:c r="K36" s="13">
        <x:f>J36/C36</x:f>
        <x:v>1</x:v>
      </x:c>
      <x:c r="L36" s="25">
        <x:f>IF(K36&lt;=10,119,"")</x:f>
        <x:v>119</x:v>
      </x:c>
      <x:c r="M36" s="1"/>
      <x:c r="N36" s="1"/>
    </x:row>
    <x:row r="37" spans="1:14" customFormat="1" ht="18" customHeight="1">
      <x:c r="A37" s="15" t="s">
        <x:v>281</x:v>
      </x:c>
      <x:c r="B37" s="14" t="s">
        <x:v>143</x:v>
      </x:c>
      <x:c r="C37" s="6">
        <x:v>2</x:v>
      </x:c>
      <x:c r="D37" s="14" t="s">
        <x:v>47</x:v>
      </x:c>
      <x:c r="E37" s="7" t="s">
        <x:v>39</x:v>
      </x:c>
      <x:c r="F37" s="7">
        <x:f>'2026.9.9'!J36</x:f>
        <x:v>69</x:v>
      </x:c>
      <x:c r="G37" s="6">
        <x:f>J9*C37</x:f>
        <x:v>12</x:v>
      </x:c>
      <x:c r="H37" s="6"/>
      <x:c r="I37" s="6"/>
      <x:c r="J37" s="12">
        <x:f>F37+I37-G37-H37</x:f>
        <x:v>57</x:v>
      </x:c>
      <x:c r="K37" s="13">
        <x:f>J37/C37</x:f>
        <x:v>28.5</x:v>
      </x:c>
      <x:c r="L37" s="25" t="str">
        <x:f>IF(K37&lt;=10,119,"")</x:f>
        <x:v/>
      </x:c>
      <x:c r="M37" s="31"/>
      <x:c r="N37" s="1"/>
    </x:row>
    <x:row r="38" spans="1:14" customFormat="1" ht="18" customHeight="1">
      <x:c r="A38" s="15" t="s">
        <x:v>281</x:v>
      </x:c>
      <x:c r="B38" s="14" t="s">
        <x:v>143</x:v>
      </x:c>
      <x:c r="C38" s="6">
        <x:v>2</x:v>
      </x:c>
      <x:c r="D38" s="14" t="s">
        <x:v>73</x:v>
      </x:c>
      <x:c r="E38" s="7" t="s">
        <x:v>90</x:v>
      </x:c>
      <x:c r="F38" s="7">
        <x:f>'2026.9.9'!J37</x:f>
        <x:v>68</x:v>
      </x:c>
      <x:c r="G38" s="6">
        <x:f>J10*C38</x:f>
        <x:v>0</x:v>
      </x:c>
      <x:c r="H38" s="6"/>
      <x:c r="I38" s="6"/>
      <x:c r="J38" s="12">
        <x:f>F38+I38-G38-H38</x:f>
        <x:v>68</x:v>
      </x:c>
      <x:c r="K38" s="13">
        <x:f>J38/C38</x:f>
        <x:v>34</x:v>
      </x:c>
      <x:c r="L38" s="25" t="str">
        <x:f>IF(K38&lt;=10,119,"")</x:f>
        <x:v/>
      </x:c>
      <x:c r="M38" s="31"/>
      <x:c r="N38" s="1"/>
    </x:row>
    <x:row r="39" spans="1:14" customFormat="1" ht="18" customHeight="1">
      <x:c r="A39" s="15" t="s">
        <x:v>242</x:v>
      </x:c>
      <x:c r="B39" s="14" t="s">
        <x:v>189</x:v>
      </x:c>
      <x:c r="C39" s="6">
        <x:v>2</x:v>
      </x:c>
      <x:c r="D39" s="14" t="s">
        <x:v>11</x:v>
      </x:c>
      <x:c r="E39" s="6" t="s">
        <x:v>122</x:v>
      </x:c>
      <x:c r="F39" s="7">
        <x:f>'2026.9.9'!J38</x:f>
        <x:v>6</x:v>
      </x:c>
      <x:c r="G39" s="6">
        <x:f>SUM(H25:H26)*C39</x:f>
        <x:v>0</x:v>
      </x:c>
      <x:c r="H39" s="6"/>
      <x:c r="I39" s="6"/>
      <x:c r="J39" s="12">
        <x:f>F39+I39-G39-H39</x:f>
        <x:v>6</x:v>
      </x:c>
      <x:c r="K39" s="13">
        <x:f>J39/C39</x:f>
        <x:v>3</x:v>
      </x:c>
      <x:c r="L39" s="25">
        <x:f>IF(K39&lt;=10,119,"")</x:f>
        <x:v>119</x:v>
      </x:c>
      <x:c r="M39" s="1"/>
      <x:c r="N39" s="1"/>
    </x:row>
    <x:row r="40" spans="1:14" ht="18" customHeight="1">
      <x:c r="A40" s="15" t="s">
        <x:v>67</x:v>
      </x:c>
      <x:c r="B40" s="14" t="s">
        <x:v>62</x:v>
      </x:c>
      <x:c r="C40" s="6">
        <x:v>4</x:v>
      </x:c>
      <x:c r="D40" s="14" t="s">
        <x:v>262</x:v>
      </x:c>
      <x:c r="E40" s="1" t="s">
        <x:v>69</x:v>
      </x:c>
      <x:c r="F40" s="7">
        <x:f>'2026.9.9'!J39</x:f>
        <x:v>304</x:v>
      </x:c>
      <x:c r="G40" s="6">
        <x:f>SUM(H5:H16)*C40</x:f>
        <x:v>0</x:v>
      </x:c>
      <x:c r="H40" s="6"/>
      <x:c r="I40" s="6"/>
      <x:c r="J40" s="12">
        <x:f>F40+I40-G40-H40</x:f>
        <x:v>304</x:v>
      </x:c>
      <x:c r="K40" s="13">
        <x:f>J40/C40</x:f>
        <x:v>76</x:v>
      </x:c>
      <x:c r="L40" s="25" t="str">
        <x:f>IF(K40&lt;=10,119,"")</x:f>
        <x:v/>
      </x:c>
      <x:c r="M40"/>
      <x:c r="N40"/>
    </x:row>
    <x:row r="41" spans="1:14" ht="18" customHeight="1">
      <x:c r="A41" s="15" t="s">
        <x:v>67</x:v>
      </x:c>
      <x:c r="B41" s="14" t="s">
        <x:v>62</x:v>
      </x:c>
      <x:c r="C41" s="6">
        <x:v>4</x:v>
      </x:c>
      <x:c r="D41" s="14" t="s">
        <x:v>249</x:v>
      </x:c>
      <x:c r="E41" s="1" t="s">
        <x:v>61</x:v>
      </x:c>
      <x:c r="F41" s="7">
        <x:f>'2026.9.9'!J40</x:f>
        <x:v>150</x:v>
      </x:c>
      <x:c r="G41" s="1">
        <x:f>SUM(H18:H21)*C41</x:f>
        <x:v>0</x:v>
      </x:c>
      <x:c r="J41" s="12">
        <x:f>F41+I41-G41-H41</x:f>
        <x:v>150</x:v>
      </x:c>
      <x:c r="K41" s="13">
        <x:f>J41/C41</x:f>
        <x:v>37.5</x:v>
      </x:c>
      <x:c r="L41" s="25" t="str">
        <x:f>IF(K41&lt;=10,119,"")</x:f>
        <x:v/>
      </x:c>
      <x:c r="M41"/>
      <x:c r="N41"/>
    </x:row>
    <x:row r="42" spans="1:14" ht="18" customHeight="1">
      <x:c r="A42" s="15" t="s">
        <x:v>67</x:v>
      </x:c>
      <x:c r="B42" s="14" t="s">
        <x:v>62</x:v>
      </x:c>
      <x:c r="C42" s="6">
        <x:v>4</x:v>
      </x:c>
      <x:c r="D42" s="14" t="s">
        <x:v>70</x:v>
      </x:c>
      <x:c r="E42" s="7" t="s">
        <x:v>26</x:v>
      </x:c>
      <x:c r="F42" s="7">
        <x:f>'2026.9.9'!J41</x:f>
        <x:v>262</x:v>
      </x:c>
      <x:c r="G42" s="1">
        <x:f>H22*C42</x:f>
        <x:v>0</x:v>
      </x:c>
      <x:c r="J42" s="12">
        <x:f>F42+I42-G42-H42</x:f>
        <x:v>262</x:v>
      </x:c>
      <x:c r="K42" s="13">
        <x:f>J42/C42</x:f>
        <x:v>65.5</x:v>
      </x:c>
      <x:c r="L42" s="25" t="str">
        <x:f>IF(K42&lt;=10,119,"")</x:f>
        <x:v/>
      </x:c>
      <x:c r="M42"/>
      <x:c r="N42"/>
    </x:row>
    <x:row r="43" spans="1:14" customFormat="1" ht="18" customHeight="1">
      <x:c r="A43" s="15" t="s">
        <x:v>67</x:v>
      </x:c>
      <x:c r="B43" s="14" t="s">
        <x:v>62</x:v>
      </x:c>
      <x:c r="C43" s="6">
        <x:v>4</x:v>
      </x:c>
      <x:c r="D43" s="14" t="s">
        <x:v>244</x:v>
      </x:c>
      <x:c r="E43" s="6" t="s">
        <x:v>121</x:v>
      </x:c>
      <x:c r="F43" s="7">
        <x:f>'2026.9.9'!J42</x:f>
        <x:v>6</x:v>
      </x:c>
      <x:c r="G43" s="1">
        <x:f>H23*C43</x:f>
        <x:v>0</x:v>
      </x:c>
      <x:c r="H43" s="1"/>
      <x:c r="I43" s="1"/>
      <x:c r="J43" s="12">
        <x:f>F43+I43-G43-H43</x:f>
        <x:v>6</x:v>
      </x:c>
      <x:c r="K43" s="13">
        <x:f>J43/C43</x:f>
        <x:v>1.5</x:v>
      </x:c>
      <x:c r="L43" s="25">
        <x:f>IF(K43&lt;=10,119,"")</x:f>
        <x:v>119</x:v>
      </x:c>
      <x:c r="M43" s="1"/>
      <x:c r="N43" s="1"/>
    </x:row>
    <x:row r="44" spans="1:14" customFormat="1" ht="18" customHeight="1">
      <x:c r="A44" s="15" t="s">
        <x:v>67</x:v>
      </x:c>
      <x:c r="B44" s="14" t="s">
        <x:v>62</x:v>
      </x:c>
      <x:c r="C44" s="6">
        <x:v>4</x:v>
      </x:c>
      <x:c r="D44" s="14" t="s">
        <x:v>247</x:v>
      </x:c>
      <x:c r="E44" s="6" t="s">
        <x:v>117</x:v>
      </x:c>
      <x:c r="F44" s="7">
        <x:f>'2026.9.9'!J43</x:f>
        <x:v>6</x:v>
      </x:c>
      <x:c r="G44" s="1">
        <x:f>H24*C44</x:f>
        <x:v>0</x:v>
      </x:c>
      <x:c r="H44" s="1"/>
      <x:c r="I44" s="1"/>
      <x:c r="J44" s="12">
        <x:f>F44+I44-G44-H44</x:f>
        <x:v>6</x:v>
      </x:c>
      <x:c r="K44" s="13">
        <x:f>J44/C44</x:f>
        <x:v>1.5</x:v>
      </x:c>
      <x:c r="L44" s="25">
        <x:f>IF(K44&lt;=10,119,"")</x:f>
        <x:v>119</x:v>
      </x:c>
      <x:c r="M44" s="1"/>
      <x:c r="N44" s="1"/>
    </x:row>
    <x:row r="45" spans="1:14" customFormat="1" ht="18" customHeight="1">
      <x:c r="A45" s="15" t="s">
        <x:v>67</x:v>
      </x:c>
      <x:c r="B45" s="14" t="s">
        <x:v>62</x:v>
      </x:c>
      <x:c r="C45" s="6">
        <x:v>2</x:v>
      </x:c>
      <x:c r="D45" s="14" t="s">
        <x:v>22</x:v>
      </x:c>
      <x:c r="E45" s="6" t="s">
        <x:v>93</x:v>
      </x:c>
      <x:c r="F45" s="7">
        <x:f>'2026.9.9'!J44</x:f>
        <x:v>0</x:v>
      </x:c>
      <x:c r="G45" s="1">
        <x:f>H25*C45</x:f>
        <x:v>0</x:v>
      </x:c>
      <x:c r="H45" s="1"/>
      <x:c r="I45" s="1"/>
      <x:c r="J45" s="12">
        <x:f>F45+I45-G45-H45</x:f>
        <x:v>0</x:v>
      </x:c>
      <x:c r="K45" s="13">
        <x:f>J45/C45</x:f>
        <x:v>0</x:v>
      </x:c>
      <x:c r="L45" s="25">
        <x:f>IF(K45&lt;=10,119,"")</x:f>
        <x:v>119</x:v>
      </x:c>
      <x:c r="M45" s="1"/>
      <x:c r="N45" s="1"/>
    </x:row>
    <x:row r="46" spans="1:14" customFormat="1" ht="18" customHeight="1">
      <x:c r="A46" s="15" t="s">
        <x:v>67</x:v>
      </x:c>
      <x:c r="B46" s="14" t="s">
        <x:v>62</x:v>
      </x:c>
      <x:c r="C46" s="6">
        <x:v>2</x:v>
      </x:c>
      <x:c r="D46" s="14" t="s">
        <x:v>96</x:v>
      </x:c>
      <x:c r="E46" s="6" t="s">
        <x:v>102</x:v>
      </x:c>
      <x:c r="F46" s="7">
        <x:f>'2026.9.9'!J45</x:f>
        <x:v>4</x:v>
      </x:c>
      <x:c r="G46" s="1">
        <x:f>H26*C46</x:f>
        <x:v>0</x:v>
      </x:c>
      <x:c r="H46" s="1"/>
      <x:c r="I46" s="1"/>
      <x:c r="J46" s="12">
        <x:f>F46+I46-G46-H46</x:f>
        <x:v>4</x:v>
      </x:c>
      <x:c r="K46" s="13">
        <x:f>J46/C46</x:f>
        <x:v>2</x:v>
      </x:c>
      <x:c r="L46" s="25">
        <x:f>IF(K46&lt;=10,119,"")</x:f>
        <x:v>119</x:v>
      </x:c>
      <x:c r="M46" s="1"/>
      <x:c r="N46" s="1"/>
    </x:row>
    <x:row r="47" spans="1:14" ht="18" customHeight="1">
      <x:c r="A47" s="15" t="s">
        <x:v>67</x:v>
      </x:c>
      <x:c r="B47" s="14" t="s">
        <x:v>62</x:v>
      </x:c>
      <x:c r="C47" s="1">
        <x:v>4</x:v>
      </x:c>
      <x:c r="D47" s="14" t="s">
        <x:v>83</x:v>
      </x:c>
      <x:c r="E47" s="7" t="s">
        <x:v>61</x:v>
      </x:c>
      <x:c r="F47" s="7">
        <x:f>'2026.9.9'!J46</x:f>
        <x:v>206</x:v>
      </x:c>
      <x:c r="G47" s="1">
        <x:f>J7*C47</x:f>
        <x:v>0</x:v>
      </x:c>
      <x:c r="J47" s="12">
        <x:f>F47+I47-G47-H47</x:f>
        <x:v>206</x:v>
      </x:c>
      <x:c r="K47" s="13">
        <x:f>J47/C47</x:f>
        <x:v>51.5</x:v>
      </x:c>
      <x:c r="L47" s="25" t="str">
        <x:f>IF(K47&lt;=10,119,"")</x:f>
        <x:v/>
      </x:c>
      <x:c r="M47"/>
      <x:c r="N47"/>
    </x:row>
    <x:row r="48" spans="1:14" ht="18" customHeight="1">
      <x:c r="A48" s="15" t="s">
        <x:v>67</x:v>
      </x:c>
      <x:c r="B48" s="14" t="s">
        <x:v>62</x:v>
      </x:c>
      <x:c r="C48" s="1">
        <x:v>4</x:v>
      </x:c>
      <x:c r="D48" s="14" t="s">
        <x:v>41</x:v>
      </x:c>
      <x:c r="E48" s="7" t="s">
        <x:v>50</x:v>
      </x:c>
      <x:c r="F48" s="7">
        <x:f>'2026.9.9'!J47</x:f>
        <x:v>0</x:v>
      </x:c>
      <x:c r="G48" s="1">
        <x:f>J8*C48</x:f>
        <x:v>0</x:v>
      </x:c>
      <x:c r="J48" s="12">
        <x:f>F48+I48-G48-H48</x:f>
        <x:v>0</x:v>
      </x:c>
      <x:c r="K48" s="13">
        <x:f>J48/C48</x:f>
        <x:v>0</x:v>
      </x:c>
      <x:c r="L48" s="25">
        <x:f>IF(K48&lt;=10,119,"")</x:f>
        <x:v>119</x:v>
      </x:c>
      <x:c r="N48"/>
    </x:row>
    <x:row r="49" spans="1:13" ht="18" customHeight="1">
      <x:c r="A49" s="15" t="s">
        <x:v>67</x:v>
      </x:c>
      <x:c r="B49" s="14" t="s">
        <x:v>62</x:v>
      </x:c>
      <x:c r="C49" s="1">
        <x:v>4</x:v>
      </x:c>
      <x:c r="D49" s="14" t="s">
        <x:v>19</x:v>
      </x:c>
      <x:c r="E49" s="7" t="s">
        <x:v>74</x:v>
      </x:c>
      <x:c r="F49" s="7">
        <x:f>'2026.9.9'!J48</x:f>
        <x:v>300</x:v>
      </x:c>
      <x:c r="G49" s="1">
        <x:f>SUM(J9:J10)*C49</x:f>
        <x:v>24</x:v>
      </x:c>
      <x:c r="J49" s="12">
        <x:f>F49+I49-G49-H49</x:f>
        <x:v>276</x:v>
      </x:c>
      <x:c r="K49" s="13">
        <x:f>J49/C49</x:f>
        <x:v>69</x:v>
      </x:c>
      <x:c r="L49" s="25" t="str">
        <x:f>IF(K49&lt;=10,119,"")</x:f>
        <x:v/>
      </x:c>
      <x:c r="M49"/>
    </x:row>
    <x:row r="50" spans="1:14" customFormat="1" ht="18" customHeight="1">
      <x:c r="A50" s="15" t="s">
        <x:v>243</x:v>
      </x:c>
      <x:c r="B50" s="14" t="s">
        <x:v>62</x:v>
      </x:c>
      <x:c r="C50" s="6">
        <x:v>8</x:v>
      </x:c>
      <x:c r="D50" s="14" t="s">
        <x:v>262</x:v>
      </x:c>
      <x:c r="E50" s="1" t="s">
        <x:v>69</x:v>
      </x:c>
      <x:c r="F50" s="7">
        <x:f>'2026.9.9'!J49</x:f>
        <x:v>612</x:v>
      </x:c>
      <x:c r="G50" s="6">
        <x:f>SUM(H5:H16)*C50</x:f>
        <x:v>0</x:v>
      </x:c>
      <x:c r="H50" s="6"/>
      <x:c r="I50" s="6"/>
      <x:c r="J50" s="12">
        <x:f>F50+I50-G50-H50</x:f>
        <x:v>612</x:v>
      </x:c>
      <x:c r="K50" s="13">
        <x:f>J50/C50</x:f>
        <x:v>76.5</x:v>
      </x:c>
      <x:c r="L50" s="25" t="str">
        <x:f>IF(K50&lt;=10,119,"")</x:f>
        <x:v/>
      </x:c>
      <x:c r="M50" s="31"/>
      <x:c r="N50" s="1"/>
    </x:row>
    <x:row r="51" spans="1:14" customFormat="1" ht="18" customHeight="1">
      <x:c r="A51" s="15" t="s">
        <x:v>243</x:v>
      </x:c>
      <x:c r="B51" s="14" t="s">
        <x:v>62</x:v>
      </x:c>
      <x:c r="C51" s="6">
        <x:v>8</x:v>
      </x:c>
      <x:c r="D51" s="14" t="s">
        <x:v>249</x:v>
      </x:c>
      <x:c r="E51" s="1" t="s">
        <x:v>61</x:v>
      </x:c>
      <x:c r="F51" s="7">
        <x:f>'2026.9.9'!J50</x:f>
        <x:v>246</x:v>
      </x:c>
      <x:c r="G51" s="1">
        <x:f>SUM(H18:H21)*C51</x:f>
        <x:v>0</x:v>
      </x:c>
      <x:c r="H51" s="1"/>
      <x:c r="I51" s="1"/>
      <x:c r="J51" s="12">
        <x:f>F51+I51-G51-H51</x:f>
        <x:v>246</x:v>
      </x:c>
      <x:c r="K51" s="13">
        <x:f>J51/C51</x:f>
        <x:v>30.75</x:v>
      </x:c>
      <x:c r="L51" s="25" t="str">
        <x:f>IF(K51&lt;=10,119,"")</x:f>
        <x:v/>
      </x:c>
      <x:c r="M51" s="31"/>
      <x:c r="N51" s="1"/>
    </x:row>
    <x:row r="52" spans="1:14" customFormat="1" ht="18" customHeight="1">
      <x:c r="A52" s="15" t="s">
        <x:v>243</x:v>
      </x:c>
      <x:c r="B52" s="14" t="s">
        <x:v>62</x:v>
      </x:c>
      <x:c r="C52" s="6">
        <x:v>8</x:v>
      </x:c>
      <x:c r="D52" s="14" t="s">
        <x:v>70</x:v>
      </x:c>
      <x:c r="E52" s="7" t="s">
        <x:v>26</x:v>
      </x:c>
      <x:c r="F52" s="7">
        <x:f>'2026.9.9'!J51</x:f>
        <x:v>530</x:v>
      </x:c>
      <x:c r="G52" s="1">
        <x:f>H22*C52</x:f>
        <x:v>0</x:v>
      </x:c>
      <x:c r="H52" s="1"/>
      <x:c r="I52" s="1"/>
      <x:c r="J52" s="12">
        <x:f>F52+I52-G52-H52</x:f>
        <x:v>530</x:v>
      </x:c>
      <x:c r="K52" s="13">
        <x:f>J52/C52</x:f>
        <x:v>66.25</x:v>
      </x:c>
      <x:c r="L52" s="25" t="str">
        <x:f>IF(K52&lt;=10,119,"")</x:f>
        <x:v/>
      </x:c>
      <x:c r="M52" s="31"/>
      <x:c r="N52" s="1"/>
    </x:row>
    <x:row r="53" spans="1:14" customFormat="1" ht="18" customHeight="1">
      <x:c r="A53" s="15" t="s">
        <x:v>243</x:v>
      </x:c>
      <x:c r="B53" s="14" t="s">
        <x:v>62</x:v>
      </x:c>
      <x:c r="C53" s="6">
        <x:v>5</x:v>
      </x:c>
      <x:c r="D53" s="14" t="s">
        <x:v>244</x:v>
      </x:c>
      <x:c r="E53" s="6" t="s">
        <x:v>78</x:v>
      </x:c>
      <x:c r="F53" s="7">
        <x:f>'2026.9.9'!J52</x:f>
        <x:v>10</x:v>
      </x:c>
      <x:c r="G53" s="1">
        <x:f>SUM(H23)*C53</x:f>
        <x:v>0</x:v>
      </x:c>
      <x:c r="H53" s="1"/>
      <x:c r="I53" s="1"/>
      <x:c r="J53" s="12">
        <x:f>F53+I53-G53-H53</x:f>
        <x:v>10</x:v>
      </x:c>
      <x:c r="K53" s="13">
        <x:f>J53/C53</x:f>
        <x:v>2</x:v>
      </x:c>
      <x:c r="L53" s="25">
        <x:f>IF(K53&lt;=10,119,"")</x:f>
        <x:v>119</x:v>
      </x:c>
      <x:c r="M53" s="1"/>
      <x:c r="N53" s="1"/>
    </x:row>
    <x:row r="54" spans="1:14" customFormat="1" ht="18" customHeight="1">
      <x:c r="A54" s="15" t="s">
        <x:v>243</x:v>
      </x:c>
      <x:c r="B54" s="14" t="s">
        <x:v>62</x:v>
      </x:c>
      <x:c r="C54" s="6">
        <x:v>5</x:v>
      </x:c>
      <x:c r="D54" s="14" t="s">
        <x:v>247</x:v>
      </x:c>
      <x:c r="E54" s="6" t="s">
        <x:v>72</x:v>
      </x:c>
      <x:c r="F54" s="7">
        <x:f>'2026.9.9'!J53</x:f>
        <x:v>10</x:v>
      </x:c>
      <x:c r="G54" s="1">
        <x:f>SUM(H24)*C54</x:f>
        <x:v>0</x:v>
      </x:c>
      <x:c r="H54" s="1"/>
      <x:c r="I54" s="1"/>
      <x:c r="J54" s="12">
        <x:f>F54+I54-G54-H54</x:f>
        <x:v>10</x:v>
      </x:c>
      <x:c r="K54" s="13">
        <x:f>J54/C54</x:f>
        <x:v>2</x:v>
      </x:c>
      <x:c r="L54" s="25">
        <x:f>IF(K54&lt;=10,119,"")</x:f>
        <x:v>119</x:v>
      </x:c>
      <x:c r="M54" s="1"/>
      <x:c r="N54" s="1"/>
    </x:row>
    <x:row r="55" spans="1:14" customFormat="1" ht="18" customHeight="1">
      <x:c r="A55" s="15" t="s">
        <x:v>243</x:v>
      </x:c>
      <x:c r="B55" s="14" t="s">
        <x:v>62</x:v>
      </x:c>
      <x:c r="C55" s="6">
        <x:v>8</x:v>
      </x:c>
      <x:c r="D55" s="14" t="s">
        <x:v>22</x:v>
      </x:c>
      <x:c r="E55" s="6" t="s">
        <x:v>93</x:v>
      </x:c>
      <x:c r="F55" s="7">
        <x:f>'2026.9.9'!J54</x:f>
        <x:v>0</x:v>
      </x:c>
      <x:c r="G55" s="1">
        <x:f>SUM(H25)*C55</x:f>
        <x:v>0</x:v>
      </x:c>
      <x:c r="H55" s="1"/>
      <x:c r="I55" s="1"/>
      <x:c r="J55" s="12">
        <x:f>F55+I55-G55-H55</x:f>
        <x:v>0</x:v>
      </x:c>
      <x:c r="K55" s="13">
        <x:f>J55/C55</x:f>
        <x:v>0</x:v>
      </x:c>
      <x:c r="L55" s="25">
        <x:f>IF(K55&lt;=10,119,"")</x:f>
        <x:v>119</x:v>
      </x:c>
      <x:c r="M55" s="1"/>
      <x:c r="N55" s="1"/>
    </x:row>
    <x:row r="56" spans="1:14" customFormat="1" ht="18" customHeight="1">
      <x:c r="A56" s="15" t="s">
        <x:v>243</x:v>
      </x:c>
      <x:c r="B56" s="14" t="s">
        <x:v>62</x:v>
      </x:c>
      <x:c r="C56" s="6">
        <x:v>8</x:v>
      </x:c>
      <x:c r="D56" s="14" t="s">
        <x:v>96</x:v>
      </x:c>
      <x:c r="E56" s="6" t="s">
        <x:v>102</x:v>
      </x:c>
      <x:c r="F56" s="7">
        <x:f>'2026.9.9'!J55</x:f>
        <x:v>16</x:v>
      </x:c>
      <x:c r="G56" s="1">
        <x:f>SUM(H26)*C56</x:f>
        <x:v>0</x:v>
      </x:c>
      <x:c r="H56" s="1"/>
      <x:c r="I56" s="1"/>
      <x:c r="J56" s="12">
        <x:f>F56+I56-G56-H56</x:f>
        <x:v>16</x:v>
      </x:c>
      <x:c r="K56" s="13">
        <x:f>J56/C56</x:f>
        <x:v>2</x:v>
      </x:c>
      <x:c r="L56" s="25">
        <x:f>IF(K56&lt;=10,119,"")</x:f>
        <x:v>119</x:v>
      </x:c>
      <x:c r="M56" s="1"/>
      <x:c r="N56" s="1"/>
    </x:row>
    <x:row r="57" spans="1:14" customFormat="1" ht="18" customHeight="1">
      <x:c r="A57" s="15" t="s">
        <x:v>243</x:v>
      </x:c>
      <x:c r="B57" s="14" t="s">
        <x:v>62</x:v>
      </x:c>
      <x:c r="C57" s="1">
        <x:v>5</x:v>
      </x:c>
      <x:c r="D57" s="14" t="s">
        <x:v>83</x:v>
      </x:c>
      <x:c r="E57" s="7" t="s">
        <x:v>82</x:v>
      </x:c>
      <x:c r="F57" s="7">
        <x:f>'2026.9.9'!J56</x:f>
        <x:v>180</x:v>
      </x:c>
      <x:c r="G57" s="1">
        <x:f>J7*C57</x:f>
        <x:v>0</x:v>
      </x:c>
      <x:c r="H57" s="1"/>
      <x:c r="I57" s="1"/>
      <x:c r="J57" s="12">
        <x:f>F57+I57-G57-H57</x:f>
        <x:v>180</x:v>
      </x:c>
      <x:c r="K57" s="13">
        <x:f>J57/C57</x:f>
        <x:v>36</x:v>
      </x:c>
      <x:c r="L57" s="25" t="str">
        <x:f>IF(K57&lt;=10,119,"")</x:f>
        <x:v/>
      </x:c>
      <x:c r="M57" s="31"/>
      <x:c r="N57" s="1"/>
    </x:row>
    <x:row r="58" spans="1:14" customFormat="1" ht="18" customHeight="1">
      <x:c r="A58" s="15" t="s">
        <x:v>243</x:v>
      </x:c>
      <x:c r="B58" s="14" t="s">
        <x:v>62</x:v>
      </x:c>
      <x:c r="C58" s="1">
        <x:v>5</x:v>
      </x:c>
      <x:c r="D58" s="14" t="s">
        <x:v>41</x:v>
      </x:c>
      <x:c r="E58" s="7" t="s">
        <x:v>48</x:v>
      </x:c>
      <x:c r="F58" s="7">
        <x:f>'2026.9.9'!J57</x:f>
        <x:v>5</x:v>
      </x:c>
      <x:c r="G58" s="1">
        <x:f>J8*C58</x:f>
        <x:v>0</x:v>
      </x:c>
      <x:c r="H58" s="1"/>
      <x:c r="I58" s="1"/>
      <x:c r="J58" s="12">
        <x:f>F58+I58-G58-H58</x:f>
        <x:v>5</x:v>
      </x:c>
      <x:c r="K58" s="13">
        <x:f>J58/C58</x:f>
        <x:v>1</x:v>
      </x:c>
      <x:c r="L58" s="25">
        <x:f>IF(K58&lt;=10,119,"")</x:f>
        <x:v>119</x:v>
      </x:c>
      <x:c r="M58" s="1"/>
      <x:c r="N58" s="1"/>
    </x:row>
    <x:row r="59" spans="1:14" customFormat="1" ht="18" customHeight="1">
      <x:c r="A59" s="15" t="s">
        <x:v>243</x:v>
      </x:c>
      <x:c r="B59" s="14" t="s">
        <x:v>62</x:v>
      </x:c>
      <x:c r="C59" s="1">
        <x:v>5</x:v>
      </x:c>
      <x:c r="D59" s="14" t="s">
        <x:v>19</x:v>
      </x:c>
      <x:c r="E59" s="7" t="s">
        <x:v>97</x:v>
      </x:c>
      <x:c r="F59" s="7">
        <x:f>'2026.9.9'!J58</x:f>
        <x:v>355</x:v>
      </x:c>
      <x:c r="G59" s="1">
        <x:f>J10*C59</x:f>
        <x:v>0</x:v>
      </x:c>
      <x:c r="H59" s="1"/>
      <x:c r="I59" s="1"/>
      <x:c r="J59" s="12">
        <x:f>F59+I59-G59-H59</x:f>
        <x:v>355</x:v>
      </x:c>
      <x:c r="K59" s="13">
        <x:f>J59/C59</x:f>
        <x:v>71</x:v>
      </x:c>
      <x:c r="L59" s="25" t="str">
        <x:f>IF(K59&lt;=10,119,"")</x:f>
        <x:v/>
      </x:c>
      <x:c r="M59" s="31"/>
      <x:c r="N59" s="1"/>
    </x:row>
    <x:row r="60" spans="1:14" customFormat="1" ht="18" customHeight="1">
      <x:c r="A60" s="15" t="s">
        <x:v>38</x:v>
      </x:c>
      <x:c r="B60" s="14" t="s">
        <x:v>156</x:v>
      </x:c>
      <x:c r="C60" s="6">
        <x:v>2</x:v>
      </x:c>
      <x:c r="D60" s="14" t="s">
        <x:v>262</x:v>
      </x:c>
      <x:c r="E60" s="1" t="s">
        <x:v>120</x:v>
      </x:c>
      <x:c r="F60" s="7">
        <x:f>'2026.9.9'!J59</x:f>
        <x:v>79</x:v>
      </x:c>
      <x:c r="G60" s="6">
        <x:f>SUM(H5:H16)*C60</x:f>
        <x:v>0</x:v>
      </x:c>
      <x:c r="H60" s="6"/>
      <x:c r="I60" s="6"/>
      <x:c r="J60" s="12">
        <x:f>F60+I60-G60-H60</x:f>
        <x:v>79</x:v>
      </x:c>
      <x:c r="K60" s="13">
        <x:f>J60/C60</x:f>
        <x:v>39.5</x:v>
      </x:c>
      <x:c r="L60" s="25" t="str">
        <x:f>IF(K60&lt;=10,119,"")</x:f>
        <x:v/>
      </x:c>
      <x:c r="M60" s="31"/>
      <x:c r="N60" s="1"/>
    </x:row>
    <x:row r="61" spans="1:14" customFormat="1" ht="18" customHeight="1">
      <x:c r="A61" s="15" t="s">
        <x:v>38</x:v>
      </x:c>
      <x:c r="B61" s="14" t="s">
        <x:v>156</x:v>
      </x:c>
      <x:c r="C61" s="6">
        <x:v>2</x:v>
      </x:c>
      <x:c r="D61" s="14" t="s">
        <x:v>249</x:v>
      </x:c>
      <x:c r="E61" s="1" t="s">
        <x:v>64</x:v>
      </x:c>
      <x:c r="F61" s="7">
        <x:f>'2026.9.9'!J60</x:f>
        <x:v>116</x:v>
      </x:c>
      <x:c r="G61" s="1">
        <x:f>SUM(H18:H21)*C61</x:f>
        <x:v>0</x:v>
      </x:c>
      <x:c r="H61" s="1"/>
      <x:c r="I61" s="1"/>
      <x:c r="J61" s="12">
        <x:f>F61+I61-G61-H61</x:f>
        <x:v>116</x:v>
      </x:c>
      <x:c r="K61" s="13">
        <x:f>J61/C61</x:f>
        <x:v>58</x:v>
      </x:c>
      <x:c r="L61" s="25" t="str">
        <x:f>IF(K61&lt;=10,119,"")</x:f>
        <x:v/>
      </x:c>
      <x:c r="M61" s="31"/>
      <x:c r="N61" s="1"/>
    </x:row>
    <x:row r="62" spans="1:14" customFormat="1" ht="18" customHeight="1">
      <x:c r="A62" s="15" t="s">
        <x:v>38</x:v>
      </x:c>
      <x:c r="B62" s="14" t="s">
        <x:v>156</x:v>
      </x:c>
      <x:c r="C62" s="6">
        <x:v>2</x:v>
      </x:c>
      <x:c r="D62" s="14" t="s">
        <x:v>70</x:v>
      </x:c>
      <x:c r="E62" s="7" t="s">
        <x:v>63</x:v>
      </x:c>
      <x:c r="F62" s="7">
        <x:f>'2026.9.9'!J61</x:f>
        <x:v>70</x:v>
      </x:c>
      <x:c r="G62" s="1">
        <x:f>H22*C62</x:f>
        <x:v>0</x:v>
      </x:c>
      <x:c r="H62" s="1"/>
      <x:c r="I62" s="1"/>
      <x:c r="J62" s="12">
        <x:f>F62+I62-G62-H62</x:f>
        <x:v>70</x:v>
      </x:c>
      <x:c r="K62" s="13">
        <x:f>J62/C62</x:f>
        <x:v>35</x:v>
      </x:c>
      <x:c r="L62" s="25" t="str">
        <x:f>IF(K62&lt;=10,119,"")</x:f>
        <x:v/>
      </x:c>
      <x:c r="M62" s="31"/>
      <x:c r="N62" s="1"/>
    </x:row>
    <x:row r="63" spans="1:14" customFormat="1" ht="18" customHeight="1">
      <x:c r="A63" s="15" t="s">
        <x:v>38</x:v>
      </x:c>
      <x:c r="B63" s="14" t="s">
        <x:v>156</x:v>
      </x:c>
      <x:c r="C63" s="6">
        <x:v>2</x:v>
      </x:c>
      <x:c r="D63" s="14" t="s">
        <x:v>244</x:v>
      </x:c>
      <x:c r="E63" s="6" t="s">
        <x:v>108</x:v>
      </x:c>
      <x:c r="F63" s="7">
        <x:f>'2026.9.9'!J62</x:f>
        <x:v>0</x:v>
      </x:c>
      <x:c r="G63" s="1">
        <x:f>H23*C63</x:f>
        <x:v>0</x:v>
      </x:c>
      <x:c r="H63" s="1"/>
      <x:c r="I63" s="1"/>
      <x:c r="J63" s="12">
        <x:f>F63+I63-G63-H63</x:f>
        <x:v>0</x:v>
      </x:c>
      <x:c r="K63" s="13">
        <x:f>J63/C63</x:f>
        <x:v>0</x:v>
      </x:c>
      <x:c r="L63" s="25">
        <x:f>IF(K63&lt;=10,119,"")</x:f>
        <x:v>119</x:v>
      </x:c>
      <x:c r="M63" s="1"/>
      <x:c r="N63" s="1"/>
    </x:row>
    <x:row r="64" spans="1:14" customFormat="1" ht="18" customHeight="1">
      <x:c r="A64" s="15" t="s">
        <x:v>38</x:v>
      </x:c>
      <x:c r="B64" s="14" t="s">
        <x:v>156</x:v>
      </x:c>
      <x:c r="C64" s="6">
        <x:v>2</x:v>
      </x:c>
      <x:c r="D64" s="14" t="s">
        <x:v>247</x:v>
      </x:c>
      <x:c r="E64" s="6" t="s">
        <x:v>88</x:v>
      </x:c>
      <x:c r="F64" s="7">
        <x:f>'2026.9.9'!J63</x:f>
        <x:v>0</x:v>
      </x:c>
      <x:c r="G64" s="1">
        <x:f>H24*C64</x:f>
        <x:v>0</x:v>
      </x:c>
      <x:c r="H64" s="1"/>
      <x:c r="I64" s="1"/>
      <x:c r="J64" s="12">
        <x:f>F64+I64-G64-H64</x:f>
        <x:v>0</x:v>
      </x:c>
      <x:c r="K64" s="13">
        <x:f>J64/C64</x:f>
        <x:v>0</x:v>
      </x:c>
      <x:c r="L64" s="25">
        <x:f>IF(K64&lt;=10,119,"")</x:f>
        <x:v>119</x:v>
      </x:c>
      <x:c r="M64" s="1"/>
      <x:c r="N64" s="1"/>
    </x:row>
    <x:row r="65" spans="1:14" customFormat="1" ht="18" customHeight="1">
      <x:c r="A65" s="15" t="s">
        <x:v>38</x:v>
      </x:c>
      <x:c r="B65" s="14" t="s">
        <x:v>156</x:v>
      </x:c>
      <x:c r="C65" s="6">
        <x:v>2</x:v>
      </x:c>
      <x:c r="D65" s="14" t="s">
        <x:v>22</x:v>
      </x:c>
      <x:c r="E65" s="6" t="s">
        <x:v>99</x:v>
      </x:c>
      <x:c r="F65" s="7">
        <x:f>'2026.9.9'!J64</x:f>
        <x:v>0</x:v>
      </x:c>
      <x:c r="G65" s="1">
        <x:f>H25*C65</x:f>
        <x:v>0</x:v>
      </x:c>
      <x:c r="H65" s="1"/>
      <x:c r="I65" s="1"/>
      <x:c r="J65" s="12">
        <x:f>F65+I65-G65-H65</x:f>
        <x:v>0</x:v>
      </x:c>
      <x:c r="K65" s="13">
        <x:f>J65/C65</x:f>
        <x:v>0</x:v>
      </x:c>
      <x:c r="L65" s="25">
        <x:f>IF(K65&lt;=10,119,"")</x:f>
        <x:v>119</x:v>
      </x:c>
      <x:c r="M65" s="1"/>
      <x:c r="N65" s="1"/>
    </x:row>
    <x:row r="66" spans="1:14" customFormat="1" ht="18" customHeight="1">
      <x:c r="A66" s="15" t="s">
        <x:v>38</x:v>
      </x:c>
      <x:c r="B66" s="14" t="s">
        <x:v>156</x:v>
      </x:c>
      <x:c r="C66" s="6">
        <x:v>2</x:v>
      </x:c>
      <x:c r="D66" s="14" t="s">
        <x:v>96</x:v>
      </x:c>
      <x:c r="E66" s="6" t="s">
        <x:v>104</x:v>
      </x:c>
      <x:c r="F66" s="7">
        <x:f>'2026.9.9'!J65</x:f>
        <x:v>4</x:v>
      </x:c>
      <x:c r="G66" s="1">
        <x:f>H26*C66</x:f>
        <x:v>0</x:v>
      </x:c>
      <x:c r="H66" s="1"/>
      <x:c r="I66" s="1"/>
      <x:c r="J66" s="12">
        <x:f>F66+I66-G66-H66</x:f>
        <x:v>4</x:v>
      </x:c>
      <x:c r="K66" s="13">
        <x:f>J66/C66</x:f>
        <x:v>2</x:v>
      </x:c>
      <x:c r="L66" s="25">
        <x:f>IF(K66&lt;=10,119,"")</x:f>
        <x:v>119</x:v>
      </x:c>
      <x:c r="M66" s="1"/>
      <x:c r="N66" s="1"/>
    </x:row>
    <x:row r="67" spans="1:14" customFormat="1" ht="18" customHeight="1">
      <x:c r="A67" s="15" t="s">
        <x:v>38</x:v>
      </x:c>
      <x:c r="B67" s="14" t="s">
        <x:v>156</x:v>
      </x:c>
      <x:c r="C67" s="1">
        <x:v>2</x:v>
      </x:c>
      <x:c r="D67" s="14" t="s">
        <x:v>83</x:v>
      </x:c>
      <x:c r="E67" s="1" t="s">
        <x:v>236</x:v>
      </x:c>
      <x:c r="F67" s="7">
        <x:f>'2026.9.9'!J66</x:f>
        <x:v>68</x:v>
      </x:c>
      <x:c r="G67" s="1">
        <x:f>J7*C67</x:f>
        <x:v>0</x:v>
      </x:c>
      <x:c r="H67" s="1"/>
      <x:c r="I67" s="1"/>
      <x:c r="J67" s="12">
        <x:f>F67+I67-G67-H67</x:f>
        <x:v>68</x:v>
      </x:c>
      <x:c r="K67" s="13">
        <x:f>J67/C67</x:f>
        <x:v>34</x:v>
      </x:c>
      <x:c r="L67" s="25" t="str">
        <x:f>IF(K67&lt;=10,119,"")</x:f>
        <x:v/>
      </x:c>
      <x:c r="M67" s="31"/>
      <x:c r="N67" s="1"/>
    </x:row>
    <x:row r="68" spans="1:14" customFormat="1" ht="18" customHeight="1">
      <x:c r="A68" s="15" t="s">
        <x:v>38</x:v>
      </x:c>
      <x:c r="B68" s="14" t="s">
        <x:v>156</x:v>
      </x:c>
      <x:c r="C68" s="1">
        <x:v>2</x:v>
      </x:c>
      <x:c r="D68" s="14" t="s">
        <x:v>41</x:v>
      </x:c>
      <x:c r="E68" s="7" t="s">
        <x:v>258</x:v>
      </x:c>
      <x:c r="F68" s="7">
        <x:f>'2026.9.9'!J67</x:f>
        <x:v>0</x:v>
      </x:c>
      <x:c r="G68" s="1">
        <x:f>J8*C68</x:f>
        <x:v>0</x:v>
      </x:c>
      <x:c r="H68" s="1"/>
      <x:c r="I68" s="1"/>
      <x:c r="J68" s="12">
        <x:f>F68+I68-G68-H68</x:f>
        <x:v>0</x:v>
      </x:c>
      <x:c r="K68" s="13">
        <x:f>J68/C68</x:f>
        <x:v>0</x:v>
      </x:c>
      <x:c r="L68" s="25">
        <x:f>IF(K68&lt;=10,119,"")</x:f>
        <x:v>119</x:v>
      </x:c>
      <x:c r="M68" s="1"/>
      <x:c r="N68" s="1"/>
    </x:row>
    <x:row r="69" spans="1:14" customFormat="1" ht="18" customHeight="1">
      <x:c r="A69" s="15" t="s">
        <x:v>38</x:v>
      </x:c>
      <x:c r="B69" s="14" t="s">
        <x:v>156</x:v>
      </x:c>
      <x:c r="C69" s="1">
        <x:v>2</x:v>
      </x:c>
      <x:c r="D69" s="14" t="s">
        <x:v>47</x:v>
      </x:c>
      <x:c r="E69" s="7" t="s">
        <x:v>232</x:v>
      </x:c>
      <x:c r="F69" s="7">
        <x:f>'2026.9.9'!J68</x:f>
        <x:v>84</x:v>
      </x:c>
      <x:c r="G69" s="1">
        <x:f>J9*C69</x:f>
        <x:v>12</x:v>
      </x:c>
      <x:c r="H69" s="1"/>
      <x:c r="I69" s="1"/>
      <x:c r="J69" s="12">
        <x:f>F69+I69-G69-H69</x:f>
        <x:v>72</x:v>
      </x:c>
      <x:c r="K69" s="13">
        <x:f>J69/C69</x:f>
        <x:v>36</x:v>
      </x:c>
      <x:c r="L69" s="25" t="str">
        <x:f>IF(K69&lt;=10,119,"")</x:f>
        <x:v/>
      </x:c>
      <x:c r="M69" s="31"/>
      <x:c r="N69" s="1"/>
    </x:row>
    <x:row r="70" spans="1:13" ht="18" customHeight="1">
      <x:c r="A70" s="15" t="s">
        <x:v>38</x:v>
      </x:c>
      <x:c r="B70" s="14" t="s">
        <x:v>156</x:v>
      </x:c>
      <x:c r="C70" s="1">
        <x:v>2</x:v>
      </x:c>
      <x:c r="D70" s="9" t="s">
        <x:v>73</x:v>
      </x:c>
      <x:c r="E70" s="7" t="s">
        <x:v>52</x:v>
      </x:c>
      <x:c r="F70" s="7">
        <x:f>'2026.9.9'!J69</x:f>
        <x:v>71</x:v>
      </x:c>
      <x:c r="G70" s="1">
        <x:f>J10*C70</x:f>
        <x:v>0</x:v>
      </x:c>
      <x:c r="J70" s="12">
        <x:f>F70+I70-G70-H70</x:f>
        <x:v>71</x:v>
      </x:c>
      <x:c r="K70" s="13">
        <x:f>J70/C70</x:f>
        <x:v>35.5</x:v>
      </x:c>
      <x:c r="L70" s="25" t="str">
        <x:f>IF(K70&lt;=10,119,"")</x:f>
        <x:v/>
      </x:c>
      <x:c r="M70"/>
    </x:row>
    <x:row r="71" spans="1:14" customFormat="1" ht="18" customHeight="1">
      <x:c r="A71" s="15" t="s">
        <x:v>253</x:v>
      </x:c>
      <x:c r="B71" s="14" t="s">
        <x:v>143</x:v>
      </x:c>
      <x:c r="C71" s="6">
        <x:v>2</x:v>
      </x:c>
      <x:c r="D71" s="14" t="s">
        <x:v>262</x:v>
      </x:c>
      <x:c r="E71" s="1" t="s">
        <x:v>201</x:v>
      </x:c>
      <x:c r="F71" s="7">
        <x:f>'2026.9.9'!J70</x:f>
        <x:v>36</x:v>
      </x:c>
      <x:c r="G71" s="6">
        <x:f>SUM(H5:H16)*C71</x:f>
        <x:v>0</x:v>
      </x:c>
      <x:c r="H71" s="6"/>
      <x:c r="I71" s="6"/>
      <x:c r="J71" s="12">
        <x:f>F71+I71-G71-H71</x:f>
        <x:v>36</x:v>
      </x:c>
      <x:c r="K71" s="13">
        <x:f>J71/C71</x:f>
        <x:v>18</x:v>
      </x:c>
      <x:c r="L71" s="25" t="str">
        <x:f>IF(K71&lt;=10,119,"")</x:f>
        <x:v/>
      </x:c>
      <x:c r="M71" s="31"/>
      <x:c r="N71" s="1"/>
    </x:row>
    <x:row r="72" spans="1:14" customFormat="1" ht="18" customHeight="1">
      <x:c r="A72" s="15" t="s">
        <x:v>253</x:v>
      </x:c>
      <x:c r="B72" s="14" t="s">
        <x:v>143</x:v>
      </x:c>
      <x:c r="C72" s="6">
        <x:v>2</x:v>
      </x:c>
      <x:c r="D72" s="14" t="s">
        <x:v>249</x:v>
      </x:c>
      <x:c r="E72" s="1" t="s">
        <x:v>150</x:v>
      </x:c>
      <x:c r="F72" s="7">
        <x:f>'2026.9.9'!J71</x:f>
        <x:v>177</x:v>
      </x:c>
      <x:c r="G72" s="1">
        <x:f>SUM(H18:H21)*C72</x:f>
        <x:v>0</x:v>
      </x:c>
      <x:c r="H72" s="1"/>
      <x:c r="I72" s="1"/>
      <x:c r="J72" s="12">
        <x:f>F72+I72-G72-H72</x:f>
        <x:v>177</x:v>
      </x:c>
      <x:c r="K72" s="13">
        <x:f>J72/C72</x:f>
        <x:v>88.5</x:v>
      </x:c>
      <x:c r="L72" s="25" t="str">
        <x:f>IF(K72&lt;=10,119,"")</x:f>
        <x:v/>
      </x:c>
      <x:c r="M72" s="31"/>
      <x:c r="N72" s="1"/>
    </x:row>
    <x:row r="73" spans="1:14" customFormat="1" ht="18" customHeight="1">
      <x:c r="A73" s="15" t="s">
        <x:v>253</x:v>
      </x:c>
      <x:c r="B73" s="14" t="s">
        <x:v>143</x:v>
      </x:c>
      <x:c r="C73" s="6">
        <x:v>2</x:v>
      </x:c>
      <x:c r="D73" s="14" t="s">
        <x:v>70</x:v>
      </x:c>
      <x:c r="E73" s="7" t="s">
        <x:v>148</x:v>
      </x:c>
      <x:c r="F73" s="7">
        <x:f>'2026.9.9'!J72</x:f>
        <x:v>65</x:v>
      </x:c>
      <x:c r="G73" s="1">
        <x:f>H22*C73</x:f>
        <x:v>0</x:v>
      </x:c>
      <x:c r="H73" s="1"/>
      <x:c r="I73" s="1"/>
      <x:c r="J73" s="12">
        <x:f>F73+I73-G73-H73</x:f>
        <x:v>65</x:v>
      </x:c>
      <x:c r="K73" s="13">
        <x:f>J73/C73</x:f>
        <x:v>32.5</x:v>
      </x:c>
      <x:c r="L73" s="25" t="str">
        <x:f>IF(K73&lt;=10,119,"")</x:f>
        <x:v/>
      </x:c>
      <x:c r="M73" s="31"/>
      <x:c r="N73" s="1"/>
    </x:row>
    <x:row r="74" spans="1:14" customFormat="1" ht="18" customHeight="1">
      <x:c r="A74" s="15" t="s">
        <x:v>253</x:v>
      </x:c>
      <x:c r="B74" s="14" t="s">
        <x:v>143</x:v>
      </x:c>
      <x:c r="C74" s="6">
        <x:v>1</x:v>
      </x:c>
      <x:c r="D74" s="14" t="s">
        <x:v>244</x:v>
      </x:c>
      <x:c r="E74" s="6" t="s">
        <x:v>185</x:v>
      </x:c>
      <x:c r="F74" s="7">
        <x:f>'2026.9.9'!J73</x:f>
        <x:v>0</x:v>
      </x:c>
      <x:c r="G74" s="1">
        <x:f>H23*C74</x:f>
        <x:v>0</x:v>
      </x:c>
      <x:c r="H74" s="1"/>
      <x:c r="I74" s="1"/>
      <x:c r="J74" s="12">
        <x:f>F74+I74-G74-H74</x:f>
        <x:v>0</x:v>
      </x:c>
      <x:c r="K74" s="13">
        <x:f>J74/C74</x:f>
        <x:v>0</x:v>
      </x:c>
      <x:c r="L74" s="25">
        <x:f>IF(K74&lt;=10,119,"")</x:f>
        <x:v>119</x:v>
      </x:c>
      <x:c r="M74" s="1"/>
      <x:c r="N74" s="1"/>
    </x:row>
    <x:row r="75" spans="1:14" customFormat="1" ht="18" customHeight="1">
      <x:c r="A75" s="15" t="s">
        <x:v>253</x:v>
      </x:c>
      <x:c r="B75" s="14" t="s">
        <x:v>143</x:v>
      </x:c>
      <x:c r="C75" s="6">
        <x:v>1</x:v>
      </x:c>
      <x:c r="D75" s="14" t="s">
        <x:v>247</x:v>
      </x:c>
      <x:c r="E75" s="6" t="s">
        <x:v>196</x:v>
      </x:c>
      <x:c r="F75" s="7">
        <x:f>'2026.9.9'!J74</x:f>
        <x:v>0</x:v>
      </x:c>
      <x:c r="G75" s="1">
        <x:f>H24*C75</x:f>
        <x:v>0</x:v>
      </x:c>
      <x:c r="H75" s="1"/>
      <x:c r="I75" s="1"/>
      <x:c r="J75" s="12">
        <x:f>F75+I75-G75-H75</x:f>
        <x:v>0</x:v>
      </x:c>
      <x:c r="K75" s="13">
        <x:f>J75/C75</x:f>
        <x:v>0</x:v>
      </x:c>
      <x:c r="L75" s="25">
        <x:f>IF(K75&lt;=10,119,"")</x:f>
        <x:v>119</x:v>
      </x:c>
      <x:c r="M75" s="1"/>
      <x:c r="N75" s="1"/>
    </x:row>
    <x:row r="76" spans="1:14" customFormat="1" ht="18" customHeight="1">
      <x:c r="A76" s="15" t="s">
        <x:v>253</x:v>
      </x:c>
      <x:c r="B76" s="14" t="s">
        <x:v>143</x:v>
      </x:c>
      <x:c r="C76" s="6">
        <x:v>2</x:v>
      </x:c>
      <x:c r="D76" s="14" t="s">
        <x:v>22</x:v>
      </x:c>
      <x:c r="E76" s="6" t="s">
        <x:v>215</x:v>
      </x:c>
      <x:c r="F76" s="7">
        <x:f>'2026.9.9'!J75</x:f>
        <x:v>0</x:v>
      </x:c>
      <x:c r="G76" s="1">
        <x:f>H25*C76</x:f>
        <x:v>0</x:v>
      </x:c>
      <x:c r="H76" s="1"/>
      <x:c r="I76" s="1"/>
      <x:c r="J76" s="12">
        <x:f>F76+I76-G76-H76</x:f>
        <x:v>0</x:v>
      </x:c>
      <x:c r="K76" s="13">
        <x:f>J76/C76</x:f>
        <x:v>0</x:v>
      </x:c>
      <x:c r="L76" s="25">
        <x:f>IF(K76&lt;=10,119,"")</x:f>
        <x:v>119</x:v>
      </x:c>
      <x:c r="M76" s="1"/>
      <x:c r="N76" s="1"/>
    </x:row>
    <x:row r="77" spans="1:14" customFormat="1" ht="18" customHeight="1">
      <x:c r="A77" s="15" t="s">
        <x:v>253</x:v>
      </x:c>
      <x:c r="B77" s="14" t="s">
        <x:v>143</x:v>
      </x:c>
      <x:c r="C77" s="6">
        <x:v>2</x:v>
      </x:c>
      <x:c r="D77" s="14" t="s">
        <x:v>96</x:v>
      </x:c>
      <x:c r="E77" s="6" t="s">
        <x:v>206</x:v>
      </x:c>
      <x:c r="F77" s="7">
        <x:f>'2026.9.9'!J76</x:f>
        <x:v>4</x:v>
      </x:c>
      <x:c r="G77" s="1">
        <x:f>H26*C77</x:f>
        <x:v>0</x:v>
      </x:c>
      <x:c r="H77" s="1"/>
      <x:c r="I77" s="1"/>
      <x:c r="J77" s="12">
        <x:f>F77+I77-G77-H77</x:f>
        <x:v>4</x:v>
      </x:c>
      <x:c r="K77" s="13">
        <x:f>J77/C77</x:f>
        <x:v>2</x:v>
      </x:c>
      <x:c r="L77" s="25">
        <x:f>IF(K77&lt;=10,119,"")</x:f>
        <x:v>119</x:v>
      </x:c>
      <x:c r="M77" s="1"/>
      <x:c r="N77" s="1"/>
    </x:row>
    <x:row r="78" spans="1:14" customFormat="1" ht="18" customHeight="1">
      <x:c r="A78" s="15" t="s">
        <x:v>253</x:v>
      </x:c>
      <x:c r="B78" s="14" t="s">
        <x:v>137</x:v>
      </x:c>
      <x:c r="C78" s="1">
        <x:v>1</x:v>
      </x:c>
      <x:c r="D78" s="14" t="s">
        <x:v>83</x:v>
      </x:c>
      <x:c r="E78" s="1" t="s">
        <x:v>126</x:v>
      </x:c>
      <x:c r="F78" s="7">
        <x:f>'2026.9.9'!J77</x:f>
        <x:v>0</x:v>
      </x:c>
      <x:c r="G78" s="1">
        <x:f>J7*C78</x:f>
        <x:v>0</x:v>
      </x:c>
      <x:c r="H78" s="1"/>
      <x:c r="I78" s="1"/>
      <x:c r="J78" s="12">
        <x:f>F78+I78-G78-H78</x:f>
        <x:v>0</x:v>
      </x:c>
      <x:c r="K78" s="13">
        <x:f>J78/C78</x:f>
        <x:v>0</x:v>
      </x:c>
      <x:c r="L78" s="25">
        <x:f>IF(K78&lt;=10,119,"")</x:f>
        <x:v>119</x:v>
      </x:c>
      <x:c r="M78" s="1"/>
      <x:c r="N78" s="1"/>
    </x:row>
    <x:row r="79" spans="1:14" customFormat="1" ht="18" customHeight="1">
      <x:c r="A79" s="15" t="s">
        <x:v>253</x:v>
      </x:c>
      <x:c r="B79" s="14" t="s">
        <x:v>137</x:v>
      </x:c>
      <x:c r="C79" s="1">
        <x:v>1</x:v>
      </x:c>
      <x:c r="D79" s="14" t="s">
        <x:v>41</x:v>
      </x:c>
      <x:c r="E79" s="7" t="s">
        <x:v>131</x:v>
      </x:c>
      <x:c r="F79" s="7">
        <x:f>'2026.9.9'!J78</x:f>
        <x:v>3</x:v>
      </x:c>
      <x:c r="G79" s="1">
        <x:f>J8*C79</x:f>
        <x:v>0</x:v>
      </x:c>
      <x:c r="H79" s="1"/>
      <x:c r="I79" s="1"/>
      <x:c r="J79" s="12">
        <x:f>F79+I79-G79-H79</x:f>
        <x:v>3</x:v>
      </x:c>
      <x:c r="K79" s="13">
        <x:f>J79/C79</x:f>
        <x:v>3</x:v>
      </x:c>
      <x:c r="L79" s="25">
        <x:f>IF(K79&lt;=10,119,"")</x:f>
        <x:v>119</x:v>
      </x:c>
      <x:c r="M79" s="1"/>
      <x:c r="N79" s="1"/>
    </x:row>
    <x:row r="80" spans="1:14" customFormat="1" ht="18" customHeight="1">
      <x:c r="A80" s="15" t="s">
        <x:v>253</x:v>
      </x:c>
      <x:c r="B80" s="14" t="s">
        <x:v>137</x:v>
      </x:c>
      <x:c r="C80" s="1">
        <x:v>1</x:v>
      </x:c>
      <x:c r="D80" s="14" t="s">
        <x:v>47</x:v>
      </x:c>
      <x:c r="E80" s="7" t="s">
        <x:v>133</x:v>
      </x:c>
      <x:c r="F80" s="7">
        <x:f>'2026.9.9'!J79</x:f>
        <x:v>6</x:v>
      </x:c>
      <x:c r="G80" s="1">
        <x:f>J9*C80</x:f>
        <x:v>6</x:v>
      </x:c>
      <x:c r="H80" s="1"/>
      <x:c r="I80" s="1"/>
      <x:c r="J80" s="12">
        <x:f>F80+I80-G80-H80</x:f>
        <x:v>0</x:v>
      </x:c>
      <x:c r="K80" s="13">
        <x:f>J80/C80</x:f>
        <x:v>0</x:v>
      </x:c>
      <x:c r="L80" s="25">
        <x:f>IF(K80&lt;=10,119,"")</x:f>
        <x:v>119</x:v>
      </x:c>
      <x:c r="M80" s="1"/>
      <x:c r="N80" s="1"/>
    </x:row>
    <x:row r="81" spans="1:14" customFormat="1" ht="18" customHeight="1">
      <x:c r="A81" s="15" t="s">
        <x:v>253</x:v>
      </x:c>
      <x:c r="B81" s="14" t="s">
        <x:v>137</x:v>
      </x:c>
      <x:c r="C81" s="1">
        <x:v>1</x:v>
      </x:c>
      <x:c r="D81" s="9" t="s">
        <x:v>73</x:v>
      </x:c>
      <x:c r="E81" s="7" t="s">
        <x:v>133</x:v>
      </x:c>
      <x:c r="F81" s="7">
        <x:f>'2026.9.9'!J80</x:f>
        <x:v>2</x:v>
      </x:c>
      <x:c r="G81" s="1">
        <x:f>J10*C81</x:f>
        <x:v>0</x:v>
      </x:c>
      <x:c r="H81" s="1"/>
      <x:c r="I81" s="1"/>
      <x:c r="J81" s="12">
        <x:f>F81+I81-G81-H81</x:f>
        <x:v>2</x:v>
      </x:c>
      <x:c r="K81" s="13">
        <x:f>J81/C81</x:f>
        <x:v>2</x:v>
      </x:c>
      <x:c r="L81" s="25">
        <x:f>IF(K81&lt;=10,119,"")</x:f>
        <x:v>119</x:v>
      </x:c>
      <x:c r="M81" s="1"/>
      <x:c r="N81" s="1"/>
    </x:row>
    <x:row r="82" spans="1:14" customFormat="1" ht="18" customHeight="1">
      <x:c r="A82" s="15" t="s">
        <x:v>274</x:v>
      </x:c>
      <x:c r="B82" s="14" t="s">
        <x:v>143</x:v>
      </x:c>
      <x:c r="C82" s="6">
        <x:v>2</x:v>
      </x:c>
      <x:c r="D82" s="14" t="s">
        <x:v>262</x:v>
      </x:c>
      <x:c r="E82" s="1" t="s">
        <x:v>85</x:v>
      </x:c>
      <x:c r="F82" s="7">
        <x:f>'2026.9.9'!J81</x:f>
        <x:v>116</x:v>
      </x:c>
      <x:c r="G82" s="6">
        <x:f>SUM(H5:H16)*C82</x:f>
        <x:v>0</x:v>
      </x:c>
      <x:c r="H82" s="6"/>
      <x:c r="I82" s="6"/>
      <x:c r="J82" s="12">
        <x:f>F82+I82-G82-H82</x:f>
        <x:v>116</x:v>
      </x:c>
      <x:c r="K82" s="13">
        <x:f>J82/C82</x:f>
        <x:v>58</x:v>
      </x:c>
      <x:c r="L82" s="25" t="str">
        <x:f>IF(K82&lt;=10,119,"")</x:f>
        <x:v/>
      </x:c>
      <x:c r="M82" s="31"/>
      <x:c r="N82" s="1"/>
    </x:row>
    <x:row r="83" spans="1:14" customFormat="1" ht="18" customHeight="1">
      <x:c r="A83" s="15" t="s">
        <x:v>274</x:v>
      </x:c>
      <x:c r="B83" s="14" t="s">
        <x:v>143</x:v>
      </x:c>
      <x:c r="C83" s="6">
        <x:v>2</x:v>
      </x:c>
      <x:c r="D83" s="14" t="s">
        <x:v>249</x:v>
      </x:c>
      <x:c r="E83" s="1" t="s">
        <x:v>45</x:v>
      </x:c>
      <x:c r="F83" s="7">
        <x:f>'2026.9.9'!J82</x:f>
        <x:v>62</x:v>
      </x:c>
      <x:c r="G83" s="1">
        <x:f>SUM(H18:H21)*C83</x:f>
        <x:v>0</x:v>
      </x:c>
      <x:c r="H83" s="1"/>
      <x:c r="I83" s="1"/>
      <x:c r="J83" s="12">
        <x:f>F83+I83-G83-H83</x:f>
        <x:v>62</x:v>
      </x:c>
      <x:c r="K83" s="13">
        <x:f>J83/C83</x:f>
        <x:v>31</x:v>
      </x:c>
      <x:c r="L83" s="25" t="str">
        <x:f>IF(K83&lt;=10,119,"")</x:f>
        <x:v/>
      </x:c>
      <x:c r="M83" s="31"/>
      <x:c r="N83" s="1"/>
    </x:row>
    <x:row r="84" spans="1:14" customFormat="1" ht="18" customHeight="1">
      <x:c r="A84" s="15" t="s">
        <x:v>274</x:v>
      </x:c>
      <x:c r="B84" s="14" t="s">
        <x:v>143</x:v>
      </x:c>
      <x:c r="C84" s="6">
        <x:v>2</x:v>
      </x:c>
      <x:c r="D84" s="14" t="s">
        <x:v>70</x:v>
      </x:c>
      <x:c r="E84" s="7" t="s">
        <x:v>66</x:v>
      </x:c>
      <x:c r="F84" s="7">
        <x:f>'2026.9.9'!J83</x:f>
        <x:v>93</x:v>
      </x:c>
      <x:c r="G84" s="1">
        <x:f>H22*C84</x:f>
        <x:v>0</x:v>
      </x:c>
      <x:c r="H84" s="1"/>
      <x:c r="I84" s="1"/>
      <x:c r="J84" s="12">
        <x:f>F84+I84-G84-H84</x:f>
        <x:v>93</x:v>
      </x:c>
      <x:c r="K84" s="13">
        <x:f>J84/C84</x:f>
        <x:v>46.5</x:v>
      </x:c>
      <x:c r="L84" s="25" t="str">
        <x:f>IF(K84&lt;=10,119,"")</x:f>
        <x:v/>
      </x:c>
      <x:c r="M84" s="31"/>
      <x:c r="N84" s="1"/>
    </x:row>
    <x:row r="85" spans="1:14" customFormat="1" ht="18" customHeight="1">
      <x:c r="A85" s="15" t="s">
        <x:v>274</x:v>
      </x:c>
      <x:c r="B85" s="14" t="s">
        <x:v>143</x:v>
      </x:c>
      <x:c r="C85" s="6">
        <x:v>1</x:v>
      </x:c>
      <x:c r="D85" s="14" t="s">
        <x:v>244</x:v>
      </x:c>
      <x:c r="E85" s="6" t="s">
        <x:v>95</x:v>
      </x:c>
      <x:c r="F85" s="7">
        <x:f>'2026.9.9'!J84</x:f>
        <x:v>0</x:v>
      </x:c>
      <x:c r="G85" s="1">
        <x:f>H23*C85</x:f>
        <x:v>0</x:v>
      </x:c>
      <x:c r="H85" s="1"/>
      <x:c r="I85" s="1"/>
      <x:c r="J85" s="12">
        <x:f>F85+I85-G85-H85</x:f>
        <x:v>0</x:v>
      </x:c>
      <x:c r="K85" s="13">
        <x:f>J85/C85</x:f>
        <x:v>0</x:v>
      </x:c>
      <x:c r="L85" s="25">
        <x:f>IF(K85&lt;=10,119,"")</x:f>
        <x:v>119</x:v>
      </x:c>
      <x:c r="M85" s="1"/>
      <x:c r="N85" s="1"/>
    </x:row>
    <x:row r="86" spans="1:14" customFormat="1" ht="18" customHeight="1">
      <x:c r="A86" s="15" t="s">
        <x:v>274</x:v>
      </x:c>
      <x:c r="B86" s="14" t="s">
        <x:v>143</x:v>
      </x:c>
      <x:c r="C86" s="6">
        <x:v>1</x:v>
      </x:c>
      <x:c r="D86" s="14" t="s">
        <x:v>247</x:v>
      </x:c>
      <x:c r="E86" s="6" t="s">
        <x:v>98</x:v>
      </x:c>
      <x:c r="F86" s="7">
        <x:f>'2026.9.9'!J85</x:f>
        <x:v>0</x:v>
      </x:c>
      <x:c r="G86" s="1">
        <x:f>H24*C86</x:f>
        <x:v>0</x:v>
      </x:c>
      <x:c r="H86" s="1"/>
      <x:c r="I86" s="1"/>
      <x:c r="J86" s="12">
        <x:f>F86+I86-G86-H86</x:f>
        <x:v>0</x:v>
      </x:c>
      <x:c r="K86" s="13">
        <x:f>J86/C86</x:f>
        <x:v>0</x:v>
      </x:c>
      <x:c r="L86" s="25">
        <x:f>IF(K86&lt;=10,119,"")</x:f>
        <x:v>119</x:v>
      </x:c>
      <x:c r="M86" s="1"/>
      <x:c r="N86" s="1"/>
    </x:row>
    <x:row r="87" spans="1:14" customFormat="1" ht="18" customHeight="1">
      <x:c r="A87" s="15" t="s">
        <x:v>274</x:v>
      </x:c>
      <x:c r="B87" s="14" t="s">
        <x:v>143</x:v>
      </x:c>
      <x:c r="C87" s="6">
        <x:v>2</x:v>
      </x:c>
      <x:c r="D87" s="14" t="s">
        <x:v>22</x:v>
      </x:c>
      <x:c r="E87" s="6" t="s">
        <x:v>106</x:v>
      </x:c>
      <x:c r="F87" s="7">
        <x:f>'2026.9.9'!J86</x:f>
        <x:v>0</x:v>
      </x:c>
      <x:c r="G87" s="1">
        <x:f>H25*C87</x:f>
        <x:v>0</x:v>
      </x:c>
      <x:c r="H87" s="1"/>
      <x:c r="I87" s="1"/>
      <x:c r="J87" s="12">
        <x:f>F87+I87-G87-H87</x:f>
        <x:v>0</x:v>
      </x:c>
      <x:c r="K87" s="13">
        <x:f>J87/C87</x:f>
        <x:v>0</x:v>
      </x:c>
      <x:c r="L87" s="25">
        <x:f>IF(K87&lt;=10,119,"")</x:f>
        <x:v>119</x:v>
      </x:c>
      <x:c r="M87" s="1"/>
      <x:c r="N87" s="1"/>
    </x:row>
    <x:row r="88" spans="1:14" customFormat="1" ht="18" customHeight="1">
      <x:c r="A88" s="15" t="s">
        <x:v>274</x:v>
      </x:c>
      <x:c r="B88" s="14" t="s">
        <x:v>143</x:v>
      </x:c>
      <x:c r="C88" s="6">
        <x:v>2</x:v>
      </x:c>
      <x:c r="D88" s="14" t="s">
        <x:v>96</x:v>
      </x:c>
      <x:c r="E88" s="6" t="s">
        <x:v>87</x:v>
      </x:c>
      <x:c r="F88" s="7">
        <x:f>'2026.9.9'!J87</x:f>
        <x:v>4</x:v>
      </x:c>
      <x:c r="G88" s="1">
        <x:f>H26*C88</x:f>
        <x:v>0</x:v>
      </x:c>
      <x:c r="H88" s="1"/>
      <x:c r="I88" s="1"/>
      <x:c r="J88" s="12">
        <x:f>F88+I88-G88-H88</x:f>
        <x:v>4</x:v>
      </x:c>
      <x:c r="K88" s="13">
        <x:f>J88/C88</x:f>
        <x:v>2</x:v>
      </x:c>
      <x:c r="L88" s="25">
        <x:f>IF(K88&lt;=10,119,"")</x:f>
        <x:v>119</x:v>
      </x:c>
      <x:c r="M88" s="1"/>
      <x:c r="N88" s="1"/>
    </x:row>
    <x:row r="89" spans="1:14" customFormat="1" ht="18" customHeight="1">
      <x:c r="A89" s="15" t="s">
        <x:v>274</x:v>
      </x:c>
      <x:c r="B89" s="14" t="s">
        <x:v>137</x:v>
      </x:c>
      <x:c r="C89" s="1">
        <x:v>1</x:v>
      </x:c>
      <x:c r="D89" s="14" t="s">
        <x:v>83</x:v>
      </x:c>
      <x:c r="E89" s="1"/>
      <x:c r="F89" s="7">
        <x:f>'2026.9.9'!J88</x:f>
        <x:v>1</x:v>
      </x:c>
      <x:c r="G89" s="1">
        <x:f>J7*C89</x:f>
        <x:v>0</x:v>
      </x:c>
      <x:c r="H89" s="1"/>
      <x:c r="I89" s="1"/>
      <x:c r="J89" s="12">
        <x:f>F89+I89-G89-H89</x:f>
        <x:v>1</x:v>
      </x:c>
      <x:c r="K89" s="13">
        <x:f>J89/C89</x:f>
        <x:v>1</x:v>
      </x:c>
      <x:c r="L89" s="25">
        <x:f>IF(K89&lt;=10,119,"")</x:f>
        <x:v>119</x:v>
      </x:c>
      <x:c r="M89" s="1"/>
      <x:c r="N89" s="1"/>
    </x:row>
    <x:row r="90" spans="1:14" customFormat="1" ht="18" customHeight="1">
      <x:c r="A90" s="15" t="s">
        <x:v>274</x:v>
      </x:c>
      <x:c r="B90" s="14" t="s">
        <x:v>137</x:v>
      </x:c>
      <x:c r="C90" s="1">
        <x:v>1</x:v>
      </x:c>
      <x:c r="D90" s="14" t="s">
        <x:v>41</x:v>
      </x:c>
      <x:c r="E90" s="7"/>
      <x:c r="F90" s="7">
        <x:f>'2026.9.9'!J89</x:f>
        <x:v>0</x:v>
      </x:c>
      <x:c r="G90" s="1">
        <x:f>J8*C90</x:f>
        <x:v>0</x:v>
      </x:c>
      <x:c r="H90" s="1"/>
      <x:c r="I90" s="1"/>
      <x:c r="J90" s="12">
        <x:f>F90+I90-G90-H90</x:f>
        <x:v>0</x:v>
      </x:c>
      <x:c r="K90" s="13">
        <x:f>J90/C90</x:f>
        <x:v>0</x:v>
      </x:c>
      <x:c r="L90" s="25">
        <x:f>IF(K90&lt;=10,119,"")</x:f>
        <x:v>119</x:v>
      </x:c>
      <x:c r="M90" s="1"/>
      <x:c r="N90" s="1"/>
    </x:row>
    <x:row r="91" spans="1:14" customFormat="1" ht="18" customHeight="1">
      <x:c r="A91" s="15" t="s">
        <x:v>274</x:v>
      </x:c>
      <x:c r="B91" s="14" t="s">
        <x:v>137</x:v>
      </x:c>
      <x:c r="C91" s="1">
        <x:v>1</x:v>
      </x:c>
      <x:c r="D91" s="14" t="s">
        <x:v>47</x:v>
      </x:c>
      <x:c r="E91" s="7"/>
      <x:c r="F91" s="7">
        <x:f>'2026.9.9'!J90</x:f>
        <x:v>7</x:v>
      </x:c>
      <x:c r="G91" s="1">
        <x:f>J9*C91</x:f>
        <x:v>6</x:v>
      </x:c>
      <x:c r="H91" s="1"/>
      <x:c r="I91" s="1"/>
      <x:c r="J91" s="12">
        <x:f>F91+I91-G91-H91</x:f>
        <x:v>1</x:v>
      </x:c>
      <x:c r="K91" s="13">
        <x:f>J91/C91</x:f>
        <x:v>1</x:v>
      </x:c>
      <x:c r="L91" s="25">
        <x:f>IF(K91&lt;=10,119,"")</x:f>
        <x:v>119</x:v>
      </x:c>
      <x:c r="M91" s="1"/>
      <x:c r="N91" s="1"/>
    </x:row>
    <x:row r="92" spans="1:14" customFormat="1" ht="18" customHeight="1">
      <x:c r="A92" s="15" t="s">
        <x:v>274</x:v>
      </x:c>
      <x:c r="B92" s="14" t="s">
        <x:v>137</x:v>
      </x:c>
      <x:c r="C92" s="1">
        <x:v>1</x:v>
      </x:c>
      <x:c r="D92" s="9" t="s">
        <x:v>73</x:v>
      </x:c>
      <x:c r="E92" s="7" t="s">
        <x:v>92</x:v>
      </x:c>
      <x:c r="F92" s="7">
        <x:f>'2026.9.9'!J91</x:f>
        <x:v>2</x:v>
      </x:c>
      <x:c r="G92" s="1">
        <x:f>J10*C92</x:f>
        <x:v>0</x:v>
      </x:c>
      <x:c r="H92" s="1"/>
      <x:c r="I92" s="1"/>
      <x:c r="J92" s="12">
        <x:f>F92+I92-G92-H92</x:f>
        <x:v>2</x:v>
      </x:c>
      <x:c r="K92" s="13">
        <x:f>J92/C92</x:f>
        <x:v>2</x:v>
      </x:c>
      <x:c r="L92" s="25">
        <x:f>IF(K92&lt;=10,119,"")</x:f>
        <x:v>119</x:v>
      </x:c>
      <x:c r="M92" s="1"/>
      <x:c r="N92" s="1"/>
    </x:row>
    <x:row r="93" spans="1:14" customFormat="1" ht="18" customHeight="1">
      <x:c r="A93" s="15" t="s">
        <x:v>53</x:v>
      </x:c>
      <x:c r="B93" s="14" t="s">
        <x:v>143</x:v>
      </x:c>
      <x:c r="C93" s="6">
        <x:v>8</x:v>
      </x:c>
      <x:c r="D93" s="14" t="s">
        <x:v>262</x:v>
      </x:c>
      <x:c r="E93" s="1" t="s">
        <x:v>175</x:v>
      </x:c>
      <x:c r="F93" s="7">
        <x:f>'2026.9.9'!J92</x:f>
        <x:v>318</x:v>
      </x:c>
      <x:c r="G93" s="6">
        <x:f>SUM(H5:H16)*C93</x:f>
        <x:v>0</x:v>
      </x:c>
      <x:c r="H93" s="6"/>
      <x:c r="I93" s="6"/>
      <x:c r="J93" s="12">
        <x:f>F93+I93-G93-H93</x:f>
        <x:v>318</x:v>
      </x:c>
      <x:c r="K93" s="13">
        <x:f>J93/C93</x:f>
        <x:v>39.75</x:v>
      </x:c>
      <x:c r="L93" s="25" t="str">
        <x:f>IF(K93&lt;=10,119,"")</x:f>
        <x:v/>
      </x:c>
      <x:c r="M93" s="31"/>
      <x:c r="N93" s="1"/>
    </x:row>
    <x:row r="94" spans="1:14" customFormat="1" ht="18" customHeight="1">
      <x:c r="A94" s="15" t="s">
        <x:v>53</x:v>
      </x:c>
      <x:c r="B94" s="14" t="s">
        <x:v>143</x:v>
      </x:c>
      <x:c r="C94" s="6">
        <x:v>8</x:v>
      </x:c>
      <x:c r="D94" s="14" t="s">
        <x:v>249</x:v>
      </x:c>
      <x:c r="E94" s="1" t="s">
        <x:v>159</x:v>
      </x:c>
      <x:c r="F94" s="7">
        <x:f>'2026.9.9'!J93</x:f>
        <x:v>299</x:v>
      </x:c>
      <x:c r="G94" s="1">
        <x:f>SUM(H18:H21)*C94</x:f>
        <x:v>0</x:v>
      </x:c>
      <x:c r="H94" s="1"/>
      <x:c r="I94" s="1"/>
      <x:c r="J94" s="12">
        <x:f>F94+I94-G94-H94</x:f>
        <x:v>299</x:v>
      </x:c>
      <x:c r="K94" s="13">
        <x:f>J94/C94</x:f>
        <x:v>37.375</x:v>
      </x:c>
      <x:c r="L94" s="25" t="str">
        <x:f>IF(K94&lt;=10,119,"")</x:f>
        <x:v/>
      </x:c>
      <x:c r="M94" s="31"/>
      <x:c r="N94" s="1"/>
    </x:row>
    <x:row r="95" spans="1:14" customFormat="1" ht="18" customHeight="1">
      <x:c r="A95" s="15" t="s">
        <x:v>53</x:v>
      </x:c>
      <x:c r="B95" s="14" t="s">
        <x:v>143</x:v>
      </x:c>
      <x:c r="C95" s="6">
        <x:v>8</x:v>
      </x:c>
      <x:c r="D95" s="14" t="s">
        <x:v>70</x:v>
      </x:c>
      <x:c r="E95" s="7" t="s">
        <x:v>192</x:v>
      </x:c>
      <x:c r="F95" s="7">
        <x:f>'2026.9.9'!J94</x:f>
        <x:v>686</x:v>
      </x:c>
      <x:c r="G95" s="1">
        <x:f>H22*C95</x:f>
        <x:v>0</x:v>
      </x:c>
      <x:c r="H95" s="1"/>
      <x:c r="I95" s="1"/>
      <x:c r="J95" s="12">
        <x:f>F95+I95-G95-H95</x:f>
        <x:v>686</x:v>
      </x:c>
      <x:c r="K95" s="13">
        <x:f>J95/C95</x:f>
        <x:v>85.75</x:v>
      </x:c>
      <x:c r="L95" s="25" t="str">
        <x:f>IF(K95&lt;=10,119,"")</x:f>
        <x:v/>
      </x:c>
      <x:c r="M95" s="31"/>
      <x:c r="N95" s="1"/>
    </x:row>
    <x:row r="96" spans="1:14" customFormat="1" ht="18" customHeight="1">
      <x:c r="A96" s="15" t="s">
        <x:v>53</x:v>
      </x:c>
      <x:c r="B96" s="14" t="s">
        <x:v>143</x:v>
      </x:c>
      <x:c r="C96" s="6">
        <x:v>4</x:v>
      </x:c>
      <x:c r="D96" s="14" t="s">
        <x:v>276</x:v>
      </x:c>
      <x:c r="E96" s="6" t="s">
        <x:v>203</x:v>
      </x:c>
      <x:c r="F96" s="7">
        <x:f>'2026.9.9'!J95</x:f>
        <x:v>2</x:v>
      </x:c>
      <x:c r="G96" s="1">
        <x:f>SUM(H23:H24)*C96</x:f>
        <x:v>0</x:v>
      </x:c>
      <x:c r="H96" s="1"/>
      <x:c r="I96" s="1"/>
      <x:c r="J96" s="12">
        <x:f>F96+I96-G96-H96</x:f>
        <x:v>2</x:v>
      </x:c>
      <x:c r="K96" s="13">
        <x:f>J96/C96</x:f>
        <x:v>0.5</x:v>
      </x:c>
      <x:c r="L96" s="25">
        <x:f>IF(K96&lt;=10,119,"")</x:f>
        <x:v>119</x:v>
      </x:c>
      <x:c r="M96" s="1"/>
      <x:c r="N96" s="1"/>
    </x:row>
    <x:row r="97" spans="1:14" customFormat="1" ht="18" customHeight="1">
      <x:c r="A97" s="15" t="s">
        <x:v>53</x:v>
      </x:c>
      <x:c r="B97" s="14" t="s">
        <x:v>143</x:v>
      </x:c>
      <x:c r="C97" s="6">
        <x:v>8</x:v>
      </x:c>
      <x:c r="D97" s="14" t="s">
        <x:v>11</x:v>
      </x:c>
      <x:c r="E97" s="6" t="s">
        <x:v>30</x:v>
      </x:c>
      <x:c r="F97" s="7">
        <x:f>'2026.9.9'!J96</x:f>
        <x:v>23</x:v>
      </x:c>
      <x:c r="G97" s="1">
        <x:f>SUM(H25:H26)*C97</x:f>
        <x:v>0</x:v>
      </x:c>
      <x:c r="H97" s="1"/>
      <x:c r="I97" s="1"/>
      <x:c r="J97" s="12">
        <x:f>F97+I97-G97-H97</x:f>
        <x:v>23</x:v>
      </x:c>
      <x:c r="K97" s="13">
        <x:f>J97/C97</x:f>
        <x:v>2.875</x:v>
      </x:c>
      <x:c r="L97" s="25">
        <x:f>IF(K97&lt;=10,119,"")</x:f>
        <x:v>119</x:v>
      </x:c>
      <x:c r="M97" s="1"/>
      <x:c r="N97" s="1"/>
    </x:row>
    <x:row r="98" spans="1:14" customFormat="1" ht="18" customHeight="1">
      <x:c r="A98" s="15" t="s">
        <x:v>53</x:v>
      </x:c>
      <x:c r="B98" s="14" t="s">
        <x:v>140</x:v>
      </x:c>
      <x:c r="C98" s="1">
        <x:v>4</x:v>
      </x:c>
      <x:c r="D98" s="14" t="s">
        <x:v>83</x:v>
      </x:c>
      <x:c r="E98" s="1" t="s">
        <x:v>49</x:v>
      </x:c>
      <x:c r="F98" s="7">
        <x:f>'2026.9.9'!J97</x:f>
        <x:v>138</x:v>
      </x:c>
      <x:c r="G98" s="1">
        <x:f>J7*C98</x:f>
        <x:v>0</x:v>
      </x:c>
      <x:c r="H98" s="1"/>
      <x:c r="I98" s="1"/>
      <x:c r="J98" s="12">
        <x:f>F98+I98-G98-H98</x:f>
        <x:v>138</x:v>
      </x:c>
      <x:c r="K98" s="13">
        <x:f>J98/C98</x:f>
        <x:v>34.5</x:v>
      </x:c>
      <x:c r="L98" s="25" t="str">
        <x:f>IF(K98&lt;=10,119,"")</x:f>
        <x:v/>
      </x:c>
      <x:c r="M98" s="31"/>
      <x:c r="N98" s="1"/>
    </x:row>
    <x:row r="99" spans="1:14" customFormat="1" ht="18" customHeight="1">
      <x:c r="A99" s="15" t="s">
        <x:v>53</x:v>
      </x:c>
      <x:c r="B99" s="14" t="s">
        <x:v>140</x:v>
      </x:c>
      <x:c r="C99" s="1">
        <x:v>4</x:v>
      </x:c>
      <x:c r="D99" s="14" t="s">
        <x:v>8</x:v>
      </x:c>
      <x:c r="E99" s="7" t="s">
        <x:v>71</x:v>
      </x:c>
      <x:c r="F99" s="7">
        <x:f>'2026.9.9'!J98</x:f>
        <x:v>147</x:v>
      </x:c>
      <x:c r="G99" s="1">
        <x:f>SUM(J8:J9)*C99</x:f>
        <x:v>24</x:v>
      </x:c>
      <x:c r="H99" s="1"/>
      <x:c r="I99" s="1"/>
      <x:c r="J99" s="12">
        <x:f>F99+I99-G99-H99</x:f>
        <x:v>123</x:v>
      </x:c>
      <x:c r="K99" s="13">
        <x:f>J99/C99</x:f>
        <x:v>30.75</x:v>
      </x:c>
      <x:c r="L99" s="25" t="str">
        <x:f>IF(K99&lt;=10,119,"")</x:f>
        <x:v/>
      </x:c>
      <x:c r="M99" s="31"/>
      <x:c r="N99" s="1"/>
    </x:row>
    <x:row r="100" spans="1:14" customFormat="1" ht="18" customHeight="1">
      <x:c r="A100" s="15" t="s">
        <x:v>53</x:v>
      </x:c>
      <x:c r="B100" s="14" t="s">
        <x:v>140</x:v>
      </x:c>
      <x:c r="C100" s="1">
        <x:v>4</x:v>
      </x:c>
      <x:c r="D100" s="9" t="s">
        <x:v>73</x:v>
      </x:c>
      <x:c r="E100" s="7" t="s">
        <x:v>79</x:v>
      </x:c>
      <x:c r="F100" s="7">
        <x:f>'2026.9.9'!J99</x:f>
        <x:v>145</x:v>
      </x:c>
      <x:c r="G100" s="1">
        <x:f>J10*C100</x:f>
        <x:v>0</x:v>
      </x:c>
      <x:c r="H100" s="1"/>
      <x:c r="I100" s="1"/>
      <x:c r="J100" s="12">
        <x:f>F100+I100-G100-H100</x:f>
        <x:v>145</x:v>
      </x:c>
      <x:c r="K100" s="13">
        <x:f>J100/C100</x:f>
        <x:v>36.25</x:v>
      </x:c>
      <x:c r="L100" s="25" t="str">
        <x:f>IF(K100&lt;=10,119,"")</x:f>
        <x:v/>
      </x:c>
      <x:c r="M100" s="31"/>
      <x:c r="N100" s="1"/>
    </x:row>
    <x:row r="101" spans="1:14" customFormat="1" ht="18" customHeight="1">
      <x:c r="A101" s="15" t="s">
        <x:v>260</x:v>
      </x:c>
      <x:c r="B101" s="14" t="s">
        <x:v>160</x:v>
      </x:c>
      <x:c r="C101" s="1">
        <x:v>2</x:v>
      </x:c>
      <x:c r="D101" s="9" t="s">
        <x:v>262</x:v>
      </x:c>
      <x:c r="E101" s="7" t="s">
        <x:v>125</x:v>
      </x:c>
      <x:c r="F101" s="7">
        <x:f>'2026.9.9'!J100</x:f>
        <x:v>122</x:v>
      </x:c>
      <x:c r="G101" s="1">
        <x:f>SUM(H5:H16)*C101</x:f>
        <x:v>0</x:v>
      </x:c>
      <x:c r="H101" s="1"/>
      <x:c r="I101" s="1"/>
      <x:c r="J101" s="12">
        <x:f>F101+I101-G101-H101</x:f>
        <x:v>122</x:v>
      </x:c>
      <x:c r="K101" s="13">
        <x:f>J101/C101</x:f>
        <x:v>61</x:v>
      </x:c>
      <x:c r="L101" s="25" t="str">
        <x:f>IF(K101&lt;=10,119,"")</x:f>
        <x:v/>
      </x:c>
      <x:c r="M101" s="31"/>
      <x:c r="N101" s="1"/>
    </x:row>
    <x:row r="102" spans="1:14" customFormat="1" ht="18" customHeight="1">
      <x:c r="A102" s="15" t="s">
        <x:v>260</x:v>
      </x:c>
      <x:c r="B102" s="14" t="s">
        <x:v>160</x:v>
      </x:c>
      <x:c r="C102" s="6">
        <x:v>2</x:v>
      </x:c>
      <x:c r="D102" s="14" t="s">
        <x:v>249</x:v>
      </x:c>
      <x:c r="E102" s="1" t="s">
        <x:v>132</x:v>
      </x:c>
      <x:c r="F102" s="7">
        <x:f>'2026.9.9'!J101</x:f>
        <x:v>37</x:v>
      </x:c>
      <x:c r="G102" s="1">
        <x:f>SUM(H18:H21)*C102</x:f>
        <x:v>0</x:v>
      </x:c>
      <x:c r="H102" s="1"/>
      <x:c r="I102" s="1"/>
      <x:c r="J102" s="12">
        <x:f>F102+I102-G102-H102</x:f>
        <x:v>37</x:v>
      </x:c>
      <x:c r="K102" s="13">
        <x:f>J102/C102</x:f>
        <x:v>18.5</x:v>
      </x:c>
      <x:c r="L102" s="25" t="str">
        <x:f>IF(K102&lt;=10,119,"")</x:f>
        <x:v/>
      </x:c>
      <x:c r="M102" s="31"/>
      <x:c r="N102" s="1"/>
    </x:row>
    <x:row r="103" spans="1:14" customFormat="1" ht="18" customHeight="1">
      <x:c r="A103" s="15" t="s">
        <x:v>260</x:v>
      </x:c>
      <x:c r="B103" s="14" t="s">
        <x:v>160</x:v>
      </x:c>
      <x:c r="C103" s="6">
        <x:v>2</x:v>
      </x:c>
      <x:c r="D103" s="14" t="s">
        <x:v>70</x:v>
      </x:c>
      <x:c r="E103" s="7" t="s">
        <x:v>129</x:v>
      </x:c>
      <x:c r="F103" s="7">
        <x:f>'2026.9.9'!J102</x:f>
        <x:v>94</x:v>
      </x:c>
      <x:c r="G103" s="1">
        <x:f>H22*C103</x:f>
        <x:v>0</x:v>
      </x:c>
      <x:c r="H103" s="1"/>
      <x:c r="I103" s="1"/>
      <x:c r="J103" s="12">
        <x:f>F103+I103-G103-H103</x:f>
        <x:v>94</x:v>
      </x:c>
      <x:c r="K103" s="13">
        <x:f>J103/C103</x:f>
        <x:v>47</x:v>
      </x:c>
      <x:c r="L103" s="25" t="str">
        <x:f>IF(K103&lt;=10,119,"")</x:f>
        <x:v/>
      </x:c>
      <x:c r="M103" s="31"/>
      <x:c r="N103" s="1"/>
    </x:row>
    <x:row r="104" spans="1:14" customFormat="1" ht="18" customHeight="1">
      <x:c r="A104" s="15" t="s">
        <x:v>260</x:v>
      </x:c>
      <x:c r="B104" s="14" t="s">
        <x:v>177</x:v>
      </x:c>
      <x:c r="C104" s="6">
        <x:v>2</x:v>
      </x:c>
      <x:c r="D104" s="14" t="s">
        <x:v>22</x:v>
      </x:c>
      <x:c r="E104" s="6" t="s">
        <x:v>212</x:v>
      </x:c>
      <x:c r="F104" s="7">
        <x:f>'2026.9.9'!J103</x:f>
        <x:v>0</x:v>
      </x:c>
      <x:c r="G104" s="1">
        <x:f>H25*C104</x:f>
        <x:v>0</x:v>
      </x:c>
      <x:c r="H104" s="1"/>
      <x:c r="I104" s="1"/>
      <x:c r="J104" s="12">
        <x:f>F104+I104-G104-H104</x:f>
        <x:v>0</x:v>
      </x:c>
      <x:c r="K104" s="13">
        <x:f>J104/C104</x:f>
        <x:v>0</x:v>
      </x:c>
      <x:c r="L104" s="25">
        <x:f>IF(K104&lt;=10,119,"")</x:f>
        <x:v>119</x:v>
      </x:c>
      <x:c r="M104" s="1"/>
      <x:c r="N104" s="1"/>
    </x:row>
    <x:row r="105" spans="1:14" customFormat="1" ht="18" customHeight="1">
      <x:c r="A105" s="15" t="s">
        <x:v>260</x:v>
      </x:c>
      <x:c r="B105" s="14" t="s">
        <x:v>177</x:v>
      </x:c>
      <x:c r="C105" s="6">
        <x:v>2</x:v>
      </x:c>
      <x:c r="D105" s="14" t="s">
        <x:v>96</x:v>
      </x:c>
      <x:c r="E105" s="6" t="s">
        <x:v>225</x:v>
      </x:c>
      <x:c r="F105" s="7">
        <x:f>'2026.9.9'!J104</x:f>
        <x:v>4</x:v>
      </x:c>
      <x:c r="G105" s="1">
        <x:f>H26*C105</x:f>
        <x:v>0</x:v>
      </x:c>
      <x:c r="H105" s="1"/>
      <x:c r="I105" s="1"/>
      <x:c r="J105" s="12">
        <x:f>F105+I105-G105-H105</x:f>
        <x:v>4</x:v>
      </x:c>
      <x:c r="K105" s="13">
        <x:f>J105/C105</x:f>
        <x:v>2</x:v>
      </x:c>
      <x:c r="L105" s="25">
        <x:f>IF(K105&lt;=10,119,"")</x:f>
        <x:v>119</x:v>
      </x:c>
      <x:c r="M105" s="1"/>
      <x:c r="N105" s="1"/>
    </x:row>
    <x:row r="106" spans="1:14" customFormat="1" ht="18" customHeight="1">
      <x:c r="A106" s="15" t="s">
        <x:v>256</x:v>
      </x:c>
      <x:c r="B106" s="14" t="s">
        <x:v>161</x:v>
      </x:c>
      <x:c r="C106" s="6">
        <x:v>2</x:v>
      </x:c>
      <x:c r="D106" s="14" t="s">
        <x:v>262</x:v>
      </x:c>
      <x:c r="E106" s="1" t="s">
        <x:v>152</x:v>
      </x:c>
      <x:c r="F106" s="7">
        <x:f>'2026.9.9'!J105</x:f>
        <x:v>72</x:v>
      </x:c>
      <x:c r="G106" s="6">
        <x:f>SUM(H5:H16)*C106</x:f>
        <x:v>0</x:v>
      </x:c>
      <x:c r="H106" s="6"/>
      <x:c r="I106" s="6"/>
      <x:c r="J106" s="12">
        <x:f>F106+I106-G106-H106</x:f>
        <x:v>72</x:v>
      </x:c>
      <x:c r="K106" s="13">
        <x:f>J106/C106</x:f>
        <x:v>36</x:v>
      </x:c>
      <x:c r="L106" s="25" t="str">
        <x:f>IF(K106&lt;=10,119,"")</x:f>
        <x:v/>
      </x:c>
      <x:c r="M106" s="31"/>
      <x:c r="N106" s="1"/>
    </x:row>
    <x:row r="107" spans="1:14" customFormat="1" ht="18" customHeight="1">
      <x:c r="A107" s="15" t="s">
        <x:v>256</x:v>
      </x:c>
      <x:c r="B107" s="14" t="s">
        <x:v>161</x:v>
      </x:c>
      <x:c r="C107" s="6">
        <x:v>2</x:v>
      </x:c>
      <x:c r="D107" s="14" t="s">
        <x:v>249</x:v>
      </x:c>
      <x:c r="E107" s="1" t="s">
        <x:v>141</x:v>
      </x:c>
      <x:c r="F107" s="7">
        <x:f>'2026.9.9'!J106</x:f>
        <x:v>41</x:v>
      </x:c>
      <x:c r="G107" s="1">
        <x:f>SUM(H18:H21)*C107</x:f>
        <x:v>0</x:v>
      </x:c>
      <x:c r="H107" s="1"/>
      <x:c r="I107" s="1"/>
      <x:c r="J107" s="12">
        <x:f>F107+I107-G107-H107</x:f>
        <x:v>41</x:v>
      </x:c>
      <x:c r="K107" s="13">
        <x:f>J107/C107</x:f>
        <x:v>20.5</x:v>
      </x:c>
      <x:c r="L107" s="25" t="str">
        <x:f>IF(K107&lt;=10,119,"")</x:f>
        <x:v/>
      </x:c>
      <x:c r="M107" s="31"/>
      <x:c r="N107" s="1"/>
    </x:row>
    <x:row r="108" spans="1:14" customFormat="1" ht="18" customHeight="1">
      <x:c r="A108" s="15" t="s">
        <x:v>256</x:v>
      </x:c>
      <x:c r="B108" s="14" t="s">
        <x:v>161</x:v>
      </x:c>
      <x:c r="C108" s="6">
        <x:v>2</x:v>
      </x:c>
      <x:c r="D108" s="14" t="s">
        <x:v>70</x:v>
      </x:c>
      <x:c r="E108" s="7" t="s">
        <x:v>138</x:v>
      </x:c>
      <x:c r="F108" s="7">
        <x:f>'2026.9.9'!J107</x:f>
        <x:v>32</x:v>
      </x:c>
      <x:c r="G108" s="1">
        <x:f>H22*C108</x:f>
        <x:v>0</x:v>
      </x:c>
      <x:c r="H108" s="1"/>
      <x:c r="I108" s="1"/>
      <x:c r="J108" s="12">
        <x:f>F108+I108-G108-H108</x:f>
        <x:v>32</x:v>
      </x:c>
      <x:c r="K108" s="13">
        <x:f>J108/C108</x:f>
        <x:v>16</x:v>
      </x:c>
      <x:c r="L108" s="25" t="str">
        <x:f>IF(K108&lt;=10,119,"")</x:f>
        <x:v/>
      </x:c>
      <x:c r="M108" s="31"/>
      <x:c r="N108" s="1"/>
    </x:row>
    <x:row r="109" spans="1:14" customFormat="1" ht="18" customHeight="1">
      <x:c r="A109" s="15" t="s">
        <x:v>256</x:v>
      </x:c>
      <x:c r="B109" s="14" t="s">
        <x:v>161</x:v>
      </x:c>
      <x:c r="C109" s="6">
        <x:v>2</x:v>
      </x:c>
      <x:c r="D109" s="14" t="s">
        <x:v>22</x:v>
      </x:c>
      <x:c r="E109" s="6" t="s">
        <x:v>179</x:v>
      </x:c>
      <x:c r="F109" s="7">
        <x:f>'2026.9.9'!J108</x:f>
        <x:v>0</x:v>
      </x:c>
      <x:c r="G109" s="1">
        <x:f>H25*C109</x:f>
        <x:v>0</x:v>
      </x:c>
      <x:c r="H109" s="1"/>
      <x:c r="I109" s="1"/>
      <x:c r="J109" s="12">
        <x:f>F109+I109-G109-H109</x:f>
        <x:v>0</x:v>
      </x:c>
      <x:c r="K109" s="13">
        <x:f>J109/C109</x:f>
        <x:v>0</x:v>
      </x:c>
      <x:c r="L109" s="25">
        <x:f>IF(K109&lt;=10,119,"")</x:f>
        <x:v>119</x:v>
      </x:c>
      <x:c r="M109" s="1"/>
      <x:c r="N109" s="1"/>
    </x:row>
    <x:row r="110" spans="1:14" customFormat="1" ht="18" customHeight="1">
      <x:c r="A110" s="15" t="s">
        <x:v>256</x:v>
      </x:c>
      <x:c r="B110" s="14" t="s">
        <x:v>161</x:v>
      </x:c>
      <x:c r="C110" s="6">
        <x:v>2</x:v>
      </x:c>
      <x:c r="D110" s="14" t="s">
        <x:v>96</x:v>
      </x:c>
      <x:c r="E110" s="6" t="s">
        <x:v>202</x:v>
      </x:c>
      <x:c r="F110" s="7">
        <x:f>'2026.9.9'!J109</x:f>
        <x:v>4</x:v>
      </x:c>
      <x:c r="G110" s="1">
        <x:f>H26*C110</x:f>
        <x:v>0</x:v>
      </x:c>
      <x:c r="H110" s="1"/>
      <x:c r="I110" s="1"/>
      <x:c r="J110" s="12">
        <x:f>F110+I110-G110-H110</x:f>
        <x:v>4</x:v>
      </x:c>
      <x:c r="K110" s="13">
        <x:f>J110/C110</x:f>
        <x:v>2</x:v>
      </x:c>
      <x:c r="L110" s="25">
        <x:f>IF(K110&lt;=10,119,"")</x:f>
        <x:v>119</x:v>
      </x:c>
      <x:c r="M110" s="1"/>
      <x:c r="N110" s="1"/>
    </x:row>
    <x:row r="111" spans="1:14" customFormat="1" ht="18" customHeight="1">
      <x:c r="A111" s="15" t="s">
        <x:v>240</x:v>
      </x:c>
      <x:c r="B111" s="14" t="s">
        <x:v>181</x:v>
      </x:c>
      <x:c r="C111" s="6">
        <x:v>2</x:v>
      </x:c>
      <x:c r="D111" s="14" t="s">
        <x:v>262</x:v>
      </x:c>
      <x:c r="E111" s="1" t="s">
        <x:v>235</x:v>
      </x:c>
      <x:c r="F111" s="7">
        <x:f>'2026.9.9'!J110</x:f>
        <x:v>92</x:v>
      </x:c>
      <x:c r="G111" s="1">
        <x:f>SUM(H5:H16)*C111</x:f>
        <x:v>0</x:v>
      </x:c>
      <x:c r="H111" s="1"/>
      <x:c r="I111" s="1"/>
      <x:c r="J111" s="12">
        <x:f>F111+I111-G111-H111</x:f>
        <x:v>92</x:v>
      </x:c>
      <x:c r="K111" s="13">
        <x:f>J111/C111</x:f>
        <x:v>46</x:v>
      </x:c>
      <x:c r="L111" s="25" t="str">
        <x:f>IF(K111&lt;=10,119,"")</x:f>
        <x:v/>
      </x:c>
      <x:c r="M111" s="31"/>
      <x:c r="N111" s="1"/>
    </x:row>
    <x:row r="112" spans="1:14" customFormat="1" ht="18" customHeight="1">
      <x:c r="A112" s="15" t="s">
        <x:v>240</x:v>
      </x:c>
      <x:c r="B112" s="14" t="s">
        <x:v>181</x:v>
      </x:c>
      <x:c r="C112" s="6">
        <x:v>2</x:v>
      </x:c>
      <x:c r="D112" s="14" t="s">
        <x:v>249</x:v>
      </x:c>
      <x:c r="E112" s="1" t="s">
        <x:v>238</x:v>
      </x:c>
      <x:c r="F112" s="7">
        <x:f>'2026.9.9'!J111</x:f>
        <x:v>32</x:v>
      </x:c>
      <x:c r="G112" s="1">
        <x:f>SUM(H18:H21)*C112</x:f>
        <x:v>0</x:v>
      </x:c>
      <x:c r="H112" s="1"/>
      <x:c r="I112" s="1"/>
      <x:c r="J112" s="12">
        <x:f>F112+I112-G112-H112</x:f>
        <x:v>32</x:v>
      </x:c>
      <x:c r="K112" s="13">
        <x:f>J112/C112</x:f>
        <x:v>16</x:v>
      </x:c>
      <x:c r="L112" s="25" t="str">
        <x:f>IF(K112&lt;=10,119,"")</x:f>
        <x:v/>
      </x:c>
      <x:c r="M112" s="31"/>
      <x:c r="N112" s="1"/>
    </x:row>
    <x:row r="113" spans="1:14" customFormat="1" ht="18" customHeight="1">
      <x:c r="A113" s="15" t="s">
        <x:v>240</x:v>
      </x:c>
      <x:c r="B113" s="14" t="s">
        <x:v>181</x:v>
      </x:c>
      <x:c r="C113" s="6">
        <x:v>2</x:v>
      </x:c>
      <x:c r="D113" s="14" t="s">
        <x:v>70</x:v>
      </x:c>
      <x:c r="E113" s="1" t="s">
        <x:v>100</x:v>
      </x:c>
      <x:c r="F113" s="7">
        <x:f>'2026.9.9'!J112</x:f>
        <x:v>32</x:v>
      </x:c>
      <x:c r="G113" s="1">
        <x:f>SUM(H22)*C113</x:f>
        <x:v>0</x:v>
      </x:c>
      <x:c r="H113" s="1"/>
      <x:c r="I113" s="1"/>
      <x:c r="J113" s="12">
        <x:f>F113+I113-G113-H113</x:f>
        <x:v>32</x:v>
      </x:c>
      <x:c r="K113" s="13">
        <x:f>J113/C113</x:f>
        <x:v>16</x:v>
      </x:c>
      <x:c r="L113" s="25" t="str">
        <x:f>IF(K113&lt;=10,119,"")</x:f>
        <x:v/>
      </x:c>
      <x:c r="M113" s="31"/>
      <x:c r="N113" s="1"/>
    </x:row>
    <x:row r="114" spans="1:14" customFormat="1" ht="18" customHeight="1">
      <x:c r="A114" s="15" t="s">
        <x:v>240</x:v>
      </x:c>
      <x:c r="B114" s="14" t="s">
        <x:v>181</x:v>
      </x:c>
      <x:c r="C114" s="6">
        <x:v>2</x:v>
      </x:c>
      <x:c r="D114" s="14" t="s">
        <x:v>22</x:v>
      </x:c>
      <x:c r="E114" s="1" t="s">
        <x:v>116</x:v>
      </x:c>
      <x:c r="F114" s="7">
        <x:f>'2026.9.9'!J113</x:f>
        <x:v>0</x:v>
      </x:c>
      <x:c r="G114" s="1">
        <x:f>H25*C114</x:f>
        <x:v>0</x:v>
      </x:c>
      <x:c r="H114" s="1"/>
      <x:c r="I114" s="1"/>
      <x:c r="J114" s="12">
        <x:f>F114+I114-G114-H114</x:f>
        <x:v>0</x:v>
      </x:c>
      <x:c r="K114" s="13">
        <x:f>J114/C114</x:f>
        <x:v>0</x:v>
      </x:c>
      <x:c r="L114" s="25">
        <x:f>IF(K114&lt;=10,119,"")</x:f>
        <x:v>119</x:v>
      </x:c>
      <x:c r="M114" s="1"/>
      <x:c r="N114" s="1"/>
    </x:row>
    <x:row r="115" spans="1:14" customFormat="1" ht="18" customHeight="1">
      <x:c r="A115" s="15" t="s">
        <x:v>240</x:v>
      </x:c>
      <x:c r="B115" s="14" t="s">
        <x:v>181</x:v>
      </x:c>
      <x:c r="C115" s="6">
        <x:v>2</x:v>
      </x:c>
      <x:c r="D115" s="14" t="s">
        <x:v>96</x:v>
      </x:c>
      <x:c r="E115" s="1" t="s">
        <x:v>91</x:v>
      </x:c>
      <x:c r="F115" s="7">
        <x:f>'2026.9.9'!J114</x:f>
        <x:v>5</x:v>
      </x:c>
      <x:c r="G115" s="1">
        <x:f>H26*C115</x:f>
        <x:v>0</x:v>
      </x:c>
      <x:c r="H115" s="1"/>
      <x:c r="I115" s="1"/>
      <x:c r="J115" s="12">
        <x:f>F115+I115-G115-H115</x:f>
        <x:v>5</x:v>
      </x:c>
      <x:c r="K115" s="13">
        <x:f>J115/C115</x:f>
        <x:v>2.5</x:v>
      </x:c>
      <x:c r="L115" s="25">
        <x:f>IF(K115&lt;=10,119,"")</x:f>
        <x:v>119</x:v>
      </x:c>
      <x:c r="M115" s="1"/>
      <x:c r="N115" s="1"/>
    </x:row>
    <x:row r="116" spans="1:14" customFormat="1" ht="18" customHeight="1">
      <x:c r="A116" s="15" t="s">
        <x:v>10</x:v>
      </x:c>
      <x:c r="B116" s="14" t="s">
        <x:v>181</x:v>
      </x:c>
      <x:c r="C116" s="6">
        <x:v>1</x:v>
      </x:c>
      <x:c r="D116" s="14" t="s">
        <x:v>268</x:v>
      </x:c>
      <x:c r="E116" s="1" t="s">
        <x:v>40</x:v>
      </x:c>
      <x:c r="F116" s="7">
        <x:f>'2026.9.9'!J115</x:f>
        <x:v>67</x:v>
      </x:c>
      <x:c r="G116" s="1">
        <x:f>SUM(H5:H21)*C116</x:f>
        <x:v>0</x:v>
      </x:c>
      <x:c r="H116" s="1"/>
      <x:c r="I116" s="1"/>
      <x:c r="J116" s="12">
        <x:f>F116+I116-G116-H116</x:f>
        <x:v>67</x:v>
      </x:c>
      <x:c r="K116" s="13">
        <x:f>J116/C116</x:f>
        <x:v>67</x:v>
      </x:c>
      <x:c r="L116" s="25" t="str">
        <x:f>IF(K116&lt;=10,119,"")</x:f>
        <x:v/>
      </x:c>
      <x:c r="M116" s="31"/>
      <x:c r="N116" s="1"/>
    </x:row>
    <x:row r="117" spans="1:14" customFormat="1" ht="18" customHeight="1">
      <x:c r="A117" s="15" t="s">
        <x:v>10</x:v>
      </x:c>
      <x:c r="B117" s="14" t="s">
        <x:v>181</x:v>
      </x:c>
      <x:c r="C117" s="6">
        <x:v>1</x:v>
      </x:c>
      <x:c r="D117" s="14" t="s">
        <x:v>70</x:v>
      </x:c>
      <x:c r="E117" s="1" t="s">
        <x:v>100</x:v>
      </x:c>
      <x:c r="F117" s="7">
        <x:f>'2026.9.9'!J116</x:f>
        <x:v>18</x:v>
      </x:c>
      <x:c r="G117" s="1">
        <x:f>SUM(G22)*C117</x:f>
        <x:v>0</x:v>
      </x:c>
      <x:c r="H117" s="1"/>
      <x:c r="I117" s="1"/>
      <x:c r="J117" s="12">
        <x:f>F117+I117-G117-H117</x:f>
        <x:v>18</x:v>
      </x:c>
      <x:c r="K117" s="13">
        <x:f>J117/C117</x:f>
        <x:v>18</x:v>
      </x:c>
      <x:c r="L117" s="25" t="str">
        <x:f>IF(K117&lt;=10,119,"")</x:f>
        <x:v/>
      </x:c>
      <x:c r="M117" s="31"/>
      <x:c r="N117" s="1"/>
    </x:row>
    <x:row r="118" spans="1:14" customFormat="1" ht="18" customHeight="1">
      <x:c r="A118" s="15" t="s">
        <x:v>10</x:v>
      </x:c>
      <x:c r="B118" s="14" t="s">
        <x:v>181</x:v>
      </x:c>
      <x:c r="C118" s="6">
        <x:v>1</x:v>
      </x:c>
      <x:c r="D118" s="14" t="s">
        <x:v>244</x:v>
      </x:c>
      <x:c r="E118" s="1" t="s">
        <x:v>89</x:v>
      </x:c>
      <x:c r="F118" s="7">
        <x:f>'2026.9.9'!J117</x:f>
        <x:v>0</x:v>
      </x:c>
      <x:c r="G118" s="1">
        <x:f>H23</x:f>
        <x:v>0</x:v>
      </x:c>
      <x:c r="H118" s="1"/>
      <x:c r="I118" s="1"/>
      <x:c r="J118" s="12">
        <x:f>F118+I118-G118-H118</x:f>
        <x:v>0</x:v>
      </x:c>
      <x:c r="K118" s="13">
        <x:f>J118/C118</x:f>
        <x:v>0</x:v>
      </x:c>
      <x:c r="L118" s="25">
        <x:f>IF(K118&lt;=10,119,"")</x:f>
        <x:v>119</x:v>
      </x:c>
      <x:c r="M118" s="1"/>
      <x:c r="N118" s="1"/>
    </x:row>
    <x:row r="119" spans="1:14" customFormat="1" ht="18" customHeight="1">
      <x:c r="A119" s="15" t="s">
        <x:v>10</x:v>
      </x:c>
      <x:c r="B119" s="14" t="s">
        <x:v>181</x:v>
      </x:c>
      <x:c r="C119" s="6">
        <x:v>1</x:v>
      </x:c>
      <x:c r="D119" s="14" t="s">
        <x:v>247</x:v>
      </x:c>
      <x:c r="E119" s="1" t="s">
        <x:v>86</x:v>
      </x:c>
      <x:c r="F119" s="7">
        <x:f>'2026.9.9'!J118</x:f>
        <x:v>0</x:v>
      </x:c>
      <x:c r="G119" s="1">
        <x:f>H24</x:f>
        <x:v>0</x:v>
      </x:c>
      <x:c r="H119" s="1"/>
      <x:c r="I119" s="1"/>
      <x:c r="J119" s="12">
        <x:f>F119+I119-G119-H119</x:f>
        <x:v>0</x:v>
      </x:c>
      <x:c r="K119" s="13">
        <x:f>J119/C119</x:f>
        <x:v>0</x:v>
      </x:c>
      <x:c r="L119" s="25">
        <x:f>IF(K119&lt;=10,119,"")</x:f>
        <x:v>119</x:v>
      </x:c>
      <x:c r="M119" s="1"/>
      <x:c r="N119" s="1"/>
    </x:row>
    <x:row r="120" spans="1:14" customFormat="1" ht="18" customHeight="1">
      <x:c r="A120" s="15" t="s">
        <x:v>10</x:v>
      </x:c>
      <x:c r="B120" s="14" t="s">
        <x:v>181</x:v>
      </x:c>
      <x:c r="C120" s="6">
        <x:v>1</x:v>
      </x:c>
      <x:c r="D120" s="14" t="s">
        <x:v>11</x:v>
      </x:c>
      <x:c r="E120" s="1" t="s">
        <x:v>109</x:v>
      </x:c>
      <x:c r="F120" s="7">
        <x:f>'2026.9.9'!J119</x:f>
        <x:v>2</x:v>
      </x:c>
      <x:c r="G120" s="1">
        <x:f>SUM(H25:H26)*C120</x:f>
        <x:v>0</x:v>
      </x:c>
      <x:c r="H120" s="1"/>
      <x:c r="I120" s="1"/>
      <x:c r="J120" s="12">
        <x:f>F120+I120-G120-H120</x:f>
        <x:v>2</x:v>
      </x:c>
      <x:c r="K120" s="13">
        <x:f>J120/C120</x:f>
        <x:v>2</x:v>
      </x:c>
      <x:c r="L120" s="25">
        <x:f>IF(K120&lt;=10,119,"")</x:f>
        <x:v>119</x:v>
      </x:c>
      <x:c r="M120" s="1"/>
      <x:c r="N120" s="1"/>
    </x:row>
    <x:row r="121" spans="1:14" customFormat="1" ht="18" customHeight="1">
      <x:c r="A121" s="15" t="s">
        <x:v>10</x:v>
      </x:c>
      <x:c r="B121" s="14" t="s">
        <x:v>137</x:v>
      </x:c>
      <x:c r="C121" s="6">
        <x:v>1</x:v>
      </x:c>
      <x:c r="D121" s="14" t="s">
        <x:v>83</x:v>
      </x:c>
      <x:c r="E121" s="1"/>
      <x:c r="F121" s="7">
        <x:f>'2026.9.9'!J120</x:f>
        <x:v>0</x:v>
      </x:c>
      <x:c r="G121" s="1">
        <x:f>J7*C121</x:f>
        <x:v>0</x:v>
      </x:c>
      <x:c r="H121" s="1"/>
      <x:c r="I121" s="1"/>
      <x:c r="J121" s="12">
        <x:f>F121+I121-G121-H121</x:f>
        <x:v>0</x:v>
      </x:c>
      <x:c r="K121" s="13">
        <x:f>J121/C121</x:f>
        <x:v>0</x:v>
      </x:c>
      <x:c r="L121" s="25">
        <x:f>IF(K121&lt;=10,119,"")</x:f>
        <x:v>119</x:v>
      </x:c>
      <x:c r="M121" s="1"/>
      <x:c r="N121" s="1"/>
    </x:row>
    <x:row r="122" spans="1:14" customFormat="1" ht="18" customHeight="1">
      <x:c r="A122" s="15" t="s">
        <x:v>10</x:v>
      </x:c>
      <x:c r="B122" s="14" t="s">
        <x:v>137</x:v>
      </x:c>
      <x:c r="C122" s="6">
        <x:v>1</x:v>
      </x:c>
      <x:c r="D122" s="14" t="s">
        <x:v>41</x:v>
      </x:c>
      <x:c r="E122" s="1"/>
      <x:c r="F122" s="7">
        <x:f>'2026.9.9'!J121</x:f>
        <x:v>0</x:v>
      </x:c>
      <x:c r="G122" s="1">
        <x:f>J8*C122</x:f>
        <x:v>0</x:v>
      </x:c>
      <x:c r="H122" s="1"/>
      <x:c r="I122" s="1"/>
      <x:c r="J122" s="12">
        <x:f>F122+I122-G122-H122</x:f>
        <x:v>0</x:v>
      </x:c>
      <x:c r="K122" s="13">
        <x:f>J122/C122</x:f>
        <x:v>0</x:v>
      </x:c>
      <x:c r="L122" s="25">
        <x:f>IF(K122&lt;=10,119,"")</x:f>
        <x:v>119</x:v>
      </x:c>
      <x:c r="M122" s="1"/>
      <x:c r="N122" s="1"/>
    </x:row>
    <x:row r="123" spans="1:14" customFormat="1" ht="18" customHeight="1">
      <x:c r="A123" s="15" t="s">
        <x:v>10</x:v>
      </x:c>
      <x:c r="B123" s="14" t="s">
        <x:v>143</x:v>
      </x:c>
      <x:c r="C123" s="6">
        <x:v>1</x:v>
      </x:c>
      <x:c r="D123" s="14" t="s">
        <x:v>47</x:v>
      </x:c>
      <x:c r="E123" s="1" t="s">
        <x:v>113</x:v>
      </x:c>
      <x:c r="F123" s="7">
        <x:f>'2026.9.9'!J122</x:f>
        <x:v>7</x:v>
      </x:c>
      <x:c r="G123" s="1">
        <x:f>J9*C123</x:f>
        <x:v>6</x:v>
      </x:c>
      <x:c r="H123" s="1"/>
      <x:c r="I123" s="1"/>
      <x:c r="J123" s="12">
        <x:f>F123+I123-G123-H123</x:f>
        <x:v>1</x:v>
      </x:c>
      <x:c r="K123" s="13">
        <x:f>J123/C123</x:f>
        <x:v>1</x:v>
      </x:c>
      <x:c r="L123" s="25">
        <x:f>IF(K123&lt;=10,119,"")</x:f>
        <x:v>119</x:v>
      </x:c>
      <x:c r="M123" s="1"/>
      <x:c r="N123" s="1"/>
    </x:row>
    <x:row r="124" spans="1:14" customFormat="1" ht="18" customHeight="1">
      <x:c r="A124" s="15" t="s">
        <x:v>10</x:v>
      </x:c>
      <x:c r="B124" s="14" t="s">
        <x:v>143</x:v>
      </x:c>
      <x:c r="C124" s="6">
        <x:v>1</x:v>
      </x:c>
      <x:c r="D124" s="9" t="s">
        <x:v>73</x:v>
      </x:c>
      <x:c r="E124" s="1" t="s">
        <x:v>105</x:v>
      </x:c>
      <x:c r="F124" s="7">
        <x:f>'2026.9.9'!J123</x:f>
        <x:v>2</x:v>
      </x:c>
      <x:c r="G124" s="1">
        <x:f>J10*C124</x:f>
        <x:v>0</x:v>
      </x:c>
      <x:c r="H124" s="1"/>
      <x:c r="I124" s="1"/>
      <x:c r="J124" s="12">
        <x:f>F124+I124-G124-H124</x:f>
        <x:v>2</x:v>
      </x:c>
      <x:c r="K124" s="13">
        <x:f>J124/C124</x:f>
        <x:v>2</x:v>
      </x:c>
      <x:c r="L124" s="25">
        <x:f>IF(K124&lt;=10,119,"")</x:f>
        <x:v>119</x:v>
      </x:c>
      <x:c r="M124" s="1"/>
      <x:c r="N124" s="1"/>
    </x:row>
    <x:row r="125" spans="1:14" customFormat="1" ht="18" customHeight="1">
      <x:c r="A125" s="15" t="s">
        <x:v>34</x:v>
      </x:c>
      <x:c r="B125" s="14" t="s">
        <x:v>181</x:v>
      </x:c>
      <x:c r="C125" s="6">
        <x:v>1</x:v>
      </x:c>
      <x:c r="D125" s="14" t="s">
        <x:v>268</x:v>
      </x:c>
      <x:c r="E125" s="1" t="s">
        <x:v>207</x:v>
      </x:c>
      <x:c r="F125" s="7">
        <x:f>'2026.9.9'!J124</x:f>
        <x:v>46</x:v>
      </x:c>
      <x:c r="G125" s="1">
        <x:f>SUM(H5:H20)*C125</x:f>
        <x:v>0</x:v>
      </x:c>
      <x:c r="H125" s="1"/>
      <x:c r="I125" s="1"/>
      <x:c r="J125" s="12">
        <x:f>F125+I125-G125-H125</x:f>
        <x:v>46</x:v>
      </x:c>
      <x:c r="K125" s="13">
        <x:f>J125/C125</x:f>
        <x:v>46</x:v>
      </x:c>
      <x:c r="L125" s="25" t="str">
        <x:f>IF(K125&lt;=10,119,"")</x:f>
        <x:v/>
      </x:c>
      <x:c r="M125" s="31"/>
      <x:c r="N125" s="1"/>
    </x:row>
    <x:row r="126" spans="1:14" customFormat="1" ht="18" customHeight="1">
      <x:c r="A126" s="15" t="s">
        <x:v>34</x:v>
      </x:c>
      <x:c r="B126" s="14" t="s">
        <x:v>181</x:v>
      </x:c>
      <x:c r="C126" s="6">
        <x:v>1</x:v>
      </x:c>
      <x:c r="D126" s="14" t="s">
        <x:v>70</x:v>
      </x:c>
      <x:c r="E126" s="1" t="s">
        <x:v>190</x:v>
      </x:c>
      <x:c r="F126" s="7">
        <x:f>'2026.9.9'!J125</x:f>
        <x:v>78</x:v>
      </x:c>
      <x:c r="G126" s="1">
        <x:f>SUM(H22)*C126</x:f>
        <x:v>0</x:v>
      </x:c>
      <x:c r="H126" s="1"/>
      <x:c r="I126" s="1"/>
      <x:c r="J126" s="12">
        <x:f>F126+I126-G126-H126</x:f>
        <x:v>78</x:v>
      </x:c>
      <x:c r="K126" s="13">
        <x:f>J126/C126</x:f>
        <x:v>78</x:v>
      </x:c>
      <x:c r="L126" s="25" t="str">
        <x:f>IF(K126&lt;=10,119,"")</x:f>
        <x:v/>
      </x:c>
      <x:c r="M126" s="31"/>
      <x:c r="N126" s="1"/>
    </x:row>
    <x:row r="127" spans="1:14" customFormat="1" ht="18" customHeight="1">
      <x:c r="A127" s="15" t="s">
        <x:v>34</x:v>
      </x:c>
      <x:c r="B127" s="14" t="s">
        <x:v>181</x:v>
      </x:c>
      <x:c r="C127" s="6">
        <x:v>1</x:v>
      </x:c>
      <x:c r="D127" s="14" t="s">
        <x:v>276</x:v>
      </x:c>
      <x:c r="E127" s="1" t="s">
        <x:v>111</x:v>
      </x:c>
      <x:c r="F127" s="7">
        <x:f>'2026.9.9'!J126</x:f>
        <x:v>0</x:v>
      </x:c>
      <x:c r="G127" s="1">
        <x:f>SUM(H23:H24)*C127</x:f>
        <x:v>0</x:v>
      </x:c>
      <x:c r="H127" s="1"/>
      <x:c r="I127" s="1"/>
      <x:c r="J127" s="12">
        <x:f>F127+I127-G127-H127</x:f>
        <x:v>0</x:v>
      </x:c>
      <x:c r="K127" s="13">
        <x:f>J127/C127</x:f>
        <x:v>0</x:v>
      </x:c>
      <x:c r="L127" s="25">
        <x:f>IF(K127&lt;=10,119,"")</x:f>
        <x:v>119</x:v>
      </x:c>
      <x:c r="M127" s="1"/>
      <x:c r="N127" s="1"/>
    </x:row>
    <x:row r="128" spans="1:14" customFormat="1" ht="18" customHeight="1">
      <x:c r="A128" s="15" t="s">
        <x:v>34</x:v>
      </x:c>
      <x:c r="B128" s="14" t="s">
        <x:v>181</x:v>
      </x:c>
      <x:c r="C128" s="6">
        <x:v>1</x:v>
      </x:c>
      <x:c r="D128" s="14" t="s">
        <x:v>11</x:v>
      </x:c>
      <x:c r="E128" s="1" t="s">
        <x:v>115</x:v>
      </x:c>
      <x:c r="F128" s="7">
        <x:f>'2026.9.9'!J127</x:f>
        <x:v>2</x:v>
      </x:c>
      <x:c r="G128" s="1">
        <x:f>SUM(H25:H26)*C128</x:f>
        <x:v>0</x:v>
      </x:c>
      <x:c r="H128" s="1"/>
      <x:c r="I128" s="1"/>
      <x:c r="J128" s="12">
        <x:f>F128+I128-G128-H128</x:f>
        <x:v>2</x:v>
      </x:c>
      <x:c r="K128" s="13">
        <x:f>J128/C128</x:f>
        <x:v>2</x:v>
      </x:c>
      <x:c r="L128" s="25">
        <x:f>IF(K128&lt;=10,119,"")</x:f>
        <x:v>119</x:v>
      </x:c>
      <x:c r="M128" s="1"/>
      <x:c r="N128" s="1"/>
    </x:row>
    <x:row r="129" spans="1:14" customFormat="1" ht="18" customHeight="1">
      <x:c r="A129" s="15" t="s">
        <x:v>29</x:v>
      </x:c>
      <x:c r="B129" s="14" t="s">
        <x:v>137</x:v>
      </x:c>
      <x:c r="C129" s="1">
        <x:v>1</x:v>
      </x:c>
      <x:c r="D129" s="14" t="s">
        <x:v>244</x:v>
      </x:c>
      <x:c r="E129" s="1" t="s">
        <x:v>227</x:v>
      </x:c>
      <x:c r="F129" s="7">
        <x:f>'2026.9.9'!J128</x:f>
        <x:v>0</x:v>
      </x:c>
      <x:c r="G129" s="1">
        <x:f>H23*C129</x:f>
        <x:v>0</x:v>
      </x:c>
      <x:c r="H129" s="1"/>
      <x:c r="I129" s="1"/>
      <x:c r="J129" s="12">
        <x:f>F129+I129-G129-H129</x:f>
        <x:v>0</x:v>
      </x:c>
      <x:c r="K129" s="13">
        <x:f>J129/C129</x:f>
        <x:v>0</x:v>
      </x:c>
      <x:c r="L129" s="25">
        <x:f>IF(K129&lt;=10,119,"")</x:f>
        <x:v>119</x:v>
      </x:c>
      <x:c r="M129" s="1"/>
      <x:c r="N129" s="1"/>
    </x:row>
    <x:row r="130" spans="1:14" customFormat="1" ht="18" customHeight="1">
      <x:c r="A130" s="15" t="s">
        <x:v>29</x:v>
      </x:c>
      <x:c r="B130" s="14" t="s">
        <x:v>137</x:v>
      </x:c>
      <x:c r="C130" s="1">
        <x:v>1</x:v>
      </x:c>
      <x:c r="D130" s="14" t="s">
        <x:v>247</x:v>
      </x:c>
      <x:c r="E130" s="1" t="s">
        <x:v>195</x:v>
      </x:c>
      <x:c r="F130" s="7">
        <x:f>'2026.9.9'!J129</x:f>
        <x:v>0</x:v>
      </x:c>
      <x:c r="G130" s="1">
        <x:f>H24*C130</x:f>
        <x:v>0</x:v>
      </x:c>
      <x:c r="H130" s="1"/>
      <x:c r="I130" s="1"/>
      <x:c r="J130" s="12">
        <x:f>F130+I130-G130-H130</x:f>
        <x:v>0</x:v>
      </x:c>
      <x:c r="K130" s="13">
        <x:f>J130/C130</x:f>
        <x:v>0</x:v>
      </x:c>
      <x:c r="L130" s="25">
        <x:f>IF(K130&lt;=10,119,"")</x:f>
        <x:v>119</x:v>
      </x:c>
      <x:c r="M130" s="1"/>
      <x:c r="N130" s="1"/>
    </x:row>
    <x:row r="131" spans="1:14" ht="18" customHeight="1">
      <x:c r="A131" s="15" t="s">
        <x:v>29</x:v>
      </x:c>
      <x:c r="B131" s="14" t="s">
        <x:v>137</x:v>
      </x:c>
      <x:c r="C131" s="1">
        <x:v>1</x:v>
      </x:c>
      <x:c r="D131" s="9" t="s">
        <x:v>83</x:v>
      </x:c>
      <x:c r="E131" s="1" t="s">
        <x:v>126</x:v>
      </x:c>
      <x:c r="F131" s="7">
        <x:f>'2026.9.9'!J130</x:f>
        <x:v>0</x:v>
      </x:c>
      <x:c r="G131" s="1">
        <x:f>J7*C131</x:f>
        <x:v>0</x:v>
      </x:c>
      <x:c r="J131" s="12">
        <x:f>F131+I131-G131-H131</x:f>
        <x:v>0</x:v>
      </x:c>
      <x:c r="K131" s="13">
        <x:f>J131/C131</x:f>
        <x:v>0</x:v>
      </x:c>
      <x:c r="L131" s="25">
        <x:f>IF(K131&lt;=10,119,"")</x:f>
        <x:v>119</x:v>
      </x:c>
      <x:c r="N131"/>
    </x:row>
    <x:row r="132" spans="1:14" ht="18" customHeight="1">
      <x:c r="A132" s="15" t="s">
        <x:v>29</x:v>
      </x:c>
      <x:c r="B132" s="14" t="s">
        <x:v>137</x:v>
      </x:c>
      <x:c r="C132" s="1">
        <x:v>1</x:v>
      </x:c>
      <x:c r="D132" s="9" t="s">
        <x:v>41</x:v>
      </x:c>
      <x:c r="E132" s="1" t="s">
        <x:v>131</x:v>
      </x:c>
      <x:c r="F132" s="7">
        <x:f>'2026.9.9'!J131</x:f>
        <x:v>3</x:v>
      </x:c>
      <x:c r="G132" s="1">
        <x:f>J8*C132</x:f>
        <x:v>0</x:v>
      </x:c>
      <x:c r="J132" s="12">
        <x:f>F132+I132-G132-H132</x:f>
        <x:v>3</x:v>
      </x:c>
      <x:c r="K132" s="13">
        <x:f>J132/C132</x:f>
        <x:v>3</x:v>
      </x:c>
      <x:c r="L132" s="25">
        <x:f>IF(K132&lt;=10,119,"")</x:f>
        <x:v>119</x:v>
      </x:c>
      <x:c r="N132"/>
    </x:row>
    <x:row r="133" spans="1:14" ht="18" customHeight="1">
      <x:c r="A133" s="15" t="s">
        <x:v>29</x:v>
      </x:c>
      <x:c r="B133" s="14" t="s">
        <x:v>137</x:v>
      </x:c>
      <x:c r="C133" s="1">
        <x:v>1</x:v>
      </x:c>
      <x:c r="D133" s="9" t="s">
        <x:v>47</x:v>
      </x:c>
      <x:c r="E133" s="1" t="s">
        <x:v>136</x:v>
      </x:c>
      <x:c r="F133" s="7">
        <x:f>'2026.9.9'!J132</x:f>
        <x:v>8</x:v>
      </x:c>
      <x:c r="G133" s="1">
        <x:f>J9*C133</x:f>
        <x:v>6</x:v>
      </x:c>
      <x:c r="J133" s="12">
        <x:f>F133+I133-G133-H133</x:f>
        <x:v>2</x:v>
      </x:c>
      <x:c r="K133" s="13">
        <x:f>J133/C133</x:f>
        <x:v>2</x:v>
      </x:c>
      <x:c r="L133" s="25">
        <x:f>IF(K133&lt;=10,119,"")</x:f>
        <x:v>119</x:v>
      </x:c>
      <x:c r="N133"/>
    </x:row>
    <x:row r="134" spans="1:12" ht="18" customHeight="1">
      <x:c r="A134" s="15" t="s">
        <x:v>29</x:v>
      </x:c>
      <x:c r="B134" s="14" t="s">
        <x:v>137</x:v>
      </x:c>
      <x:c r="C134" s="1">
        <x:v>1</x:v>
      </x:c>
      <x:c r="D134" s="9" t="s">
        <x:v>73</x:v>
      </x:c>
      <x:c r="E134" s="1" t="s">
        <x:v>136</x:v>
      </x:c>
      <x:c r="F134" s="7">
        <x:f>'2026.9.9'!J133</x:f>
        <x:v>2</x:v>
      </x:c>
      <x:c r="G134" s="1">
        <x:f>J10*C134</x:f>
        <x:v>0</x:v>
      </x:c>
      <x:c r="J134" s="12">
        <x:f>F134+I134-G134-H134</x:f>
        <x:v>2</x:v>
      </x:c>
      <x:c r="K134" s="13">
        <x:f>J134/C134</x:f>
        <x:v>2</x:v>
      </x:c>
      <x:c r="L134" s="25">
        <x:f>IF(K134&lt;=10,119,"")</x:f>
        <x:v>119</x:v>
      </x:c>
    </x:row>
    <x:row r="135" spans="1:14" customFormat="1" ht="18" customHeight="1">
      <x:c r="A135" s="15" t="s">
        <x:v>81</x:v>
      </x:c>
      <x:c r="B135" s="14" t="s">
        <x:v>143</x:v>
      </x:c>
      <x:c r="C135" s="1">
        <x:v>1</x:v>
      </x:c>
      <x:c r="D135" s="14" t="s">
        <x:v>244</x:v>
      </x:c>
      <x:c r="E135" s="1" t="s">
        <x:v>182</x:v>
      </x:c>
      <x:c r="F135" s="7">
        <x:f>'2026.9.9'!J134</x:f>
        <x:v>0</x:v>
      </x:c>
      <x:c r="G135" s="1">
        <x:f>H23*C135</x:f>
        <x:v>0</x:v>
      </x:c>
      <x:c r="H135" s="1"/>
      <x:c r="I135" s="1"/>
      <x:c r="J135" s="12">
        <x:f>F135+I135-G135-H135</x:f>
        <x:v>0</x:v>
      </x:c>
      <x:c r="K135" s="13">
        <x:f>J135/C135</x:f>
        <x:v>0</x:v>
      </x:c>
      <x:c r="L135" s="25">
        <x:f>IF(K135&lt;=10,119,"")</x:f>
        <x:v>119</x:v>
      </x:c>
      <x:c r="M135" s="1"/>
      <x:c r="N135" s="1"/>
    </x:row>
    <x:row r="136" spans="1:14" customFormat="1" ht="18" customHeight="1">
      <x:c r="A136" s="15" t="s">
        <x:v>81</x:v>
      </x:c>
      <x:c r="B136" s="14" t="s">
        <x:v>143</x:v>
      </x:c>
      <x:c r="C136" s="1">
        <x:v>1</x:v>
      </x:c>
      <x:c r="D136" s="14" t="s">
        <x:v>247</x:v>
      </x:c>
      <x:c r="E136" s="1" t="s">
        <x:v>193</x:v>
      </x:c>
      <x:c r="F136" s="7">
        <x:f>'2026.9.9'!J135</x:f>
        <x:v>0</x:v>
      </x:c>
      <x:c r="G136" s="1">
        <x:f>H24*C136</x:f>
        <x:v>0</x:v>
      </x:c>
      <x:c r="H136" s="1"/>
      <x:c r="I136" s="1"/>
      <x:c r="J136" s="12">
        <x:f>F136+I136-G136-H136</x:f>
        <x:v>0</x:v>
      </x:c>
      <x:c r="K136" s="13">
        <x:f>J136/C136</x:f>
        <x:v>0</x:v>
      </x:c>
      <x:c r="L136" s="25">
        <x:f>IF(K136&lt;=10,119,"")</x:f>
        <x:v>119</x:v>
      </x:c>
      <x:c r="M136" s="1"/>
      <x:c r="N136" s="1"/>
    </x:row>
    <x:row r="137" spans="1:14" ht="18" customHeight="1">
      <x:c r="A137" s="15" t="s">
        <x:v>81</x:v>
      </x:c>
      <x:c r="B137" s="14" t="s">
        <x:v>172</x:v>
      </x:c>
      <x:c r="C137" s="1">
        <x:v>1</x:v>
      </x:c>
      <x:c r="D137" s="9" t="s">
        <x:v>83</x:v>
      </x:c>
      <x:c r="F137" s="7">
        <x:f>'2026.9.9'!J136</x:f>
        <x:v>0</x:v>
      </x:c>
      <x:c r="G137" s="1">
        <x:f>J7*C137</x:f>
        <x:v>0</x:v>
      </x:c>
      <x:c r="J137" s="12">
        <x:f>F137+I137-G137-H137</x:f>
        <x:v>0</x:v>
      </x:c>
      <x:c r="K137" s="13">
        <x:f>J137/C137</x:f>
        <x:v>0</x:v>
      </x:c>
      <x:c r="L137" s="25">
        <x:f>IF(K137&lt;=10,119,"")</x:f>
        <x:v>119</x:v>
      </x:c>
      <x:c r="N137"/>
    </x:row>
    <x:row r="138" spans="1:14" ht="18" customHeight="1">
      <x:c r="A138" s="15" t="s">
        <x:v>81</x:v>
      </x:c>
      <x:c r="B138" s="14" t="s">
        <x:v>172</x:v>
      </x:c>
      <x:c r="C138" s="1">
        <x:v>1</x:v>
      </x:c>
      <x:c r="D138" s="9" t="s">
        <x:v>41</x:v>
      </x:c>
      <x:c r="F138" s="7">
        <x:f>'2026.9.9'!J137</x:f>
        <x:v>0</x:v>
      </x:c>
      <x:c r="G138" s="1">
        <x:f>J8*C138</x:f>
        <x:v>0</x:v>
      </x:c>
      <x:c r="J138" s="12">
        <x:f>F138+I138-G138-H138</x:f>
        <x:v>0</x:v>
      </x:c>
      <x:c r="K138" s="13">
        <x:f>J138/C138</x:f>
        <x:v>0</x:v>
      </x:c>
      <x:c r="L138" s="25">
        <x:f>IF(K138&lt;=10,119,"")</x:f>
        <x:v>119</x:v>
      </x:c>
      <x:c r="N138"/>
    </x:row>
    <x:row r="139" spans="1:14" ht="18" customHeight="1">
      <x:c r="A139" s="15" t="s">
        <x:v>81</x:v>
      </x:c>
      <x:c r="B139" s="14" t="s">
        <x:v>172</x:v>
      </x:c>
      <x:c r="C139" s="1">
        <x:v>1</x:v>
      </x:c>
      <x:c r="D139" s="9" t="s">
        <x:v>47</x:v>
      </x:c>
      <x:c r="F139" s="7">
        <x:f>'2026.9.9'!J138</x:f>
        <x:v>7</x:v>
      </x:c>
      <x:c r="G139" s="1">
        <x:f>J9*C139</x:f>
        <x:v>6</x:v>
      </x:c>
      <x:c r="J139" s="12">
        <x:f>F139+I139-G139-H139</x:f>
        <x:v>1</x:v>
      </x:c>
      <x:c r="K139" s="13">
        <x:f>J139/C139</x:f>
        <x:v>1</x:v>
      </x:c>
      <x:c r="L139" s="25">
        <x:f>IF(K139&lt;=10,119,"")</x:f>
        <x:v>119</x:v>
      </x:c>
      <x:c r="N139"/>
    </x:row>
    <x:row r="140" spans="1:12" ht="18" customHeight="1">
      <x:c r="A140" s="15" t="s">
        <x:v>81</x:v>
      </x:c>
      <x:c r="B140" s="14" t="s">
        <x:v>172</x:v>
      </x:c>
      <x:c r="C140" s="1">
        <x:v>1</x:v>
      </x:c>
      <x:c r="D140" s="9" t="s">
        <x:v>73</x:v>
      </x:c>
      <x:c r="F140" s="7">
        <x:f>'2026.9.9'!J139</x:f>
        <x:v>3</x:v>
      </x:c>
      <x:c r="G140" s="1">
        <x:f>J10*C140</x:f>
        <x:v>0</x:v>
      </x:c>
      <x:c r="J140" s="12">
        <x:f>F140+I140-G140-H140</x:f>
        <x:v>3</x:v>
      </x:c>
      <x:c r="K140" s="13">
        <x:f>J140/C140</x:f>
        <x:v>3</x:v>
      </x:c>
      <x:c r="L140" s="25">
        <x:f>IF(K140&lt;=10,119,"")</x:f>
        <x:v>119</x:v>
      </x:c>
    </x:row>
    <x:row r="141" spans="1:14" ht="18" customHeight="1">
      <x:c r="A141" s="15" t="s">
        <x:v>13</x:v>
      </x:c>
      <x:c r="B141" s="14" t="s">
        <x:v>137</x:v>
      </x:c>
      <x:c r="C141" s="1">
        <x:v>1</x:v>
      </x:c>
      <x:c r="D141" s="9" t="s">
        <x:v>83</x:v>
      </x:c>
      <x:c r="E141" s="1" t="s">
        <x:v>214</x:v>
      </x:c>
      <x:c r="F141" s="7">
        <x:f>'2026.9.9'!J140</x:f>
        <x:v>1</x:v>
      </x:c>
      <x:c r="G141" s="1">
        <x:f>J7*C141</x:f>
        <x:v>0</x:v>
      </x:c>
      <x:c r="J141" s="12">
        <x:f>F141+I141-G141-H141</x:f>
        <x:v>1</x:v>
      </x:c>
      <x:c r="K141" s="13">
        <x:f>J141/C141</x:f>
        <x:v>1</x:v>
      </x:c>
      <x:c r="L141" s="25">
        <x:f>IF(K141&lt;=10,119,"")</x:f>
        <x:v>119</x:v>
      </x:c>
      <x:c r="N141"/>
    </x:row>
    <x:row r="142" spans="1:14" ht="18" customHeight="1">
      <x:c r="A142" s="15" t="s">
        <x:v>13</x:v>
      </x:c>
      <x:c r="B142" s="14" t="s">
        <x:v>137</x:v>
      </x:c>
      <x:c r="C142" s="1">
        <x:v>1</x:v>
      </x:c>
      <x:c r="D142" s="9" t="s">
        <x:v>41</x:v>
      </x:c>
      <x:c r="E142" s="1" t="s">
        <x:v>191</x:v>
      </x:c>
      <x:c r="F142" s="7">
        <x:f>'2026.9.9'!J141</x:f>
        <x:v>1</x:v>
      </x:c>
      <x:c r="G142" s="1">
        <x:f>J8*C142</x:f>
        <x:v>0</x:v>
      </x:c>
      <x:c r="J142" s="12">
        <x:f>F142+I142-G142-H142</x:f>
        <x:v>1</x:v>
      </x:c>
      <x:c r="K142" s="13">
        <x:f>J142/C142</x:f>
        <x:v>1</x:v>
      </x:c>
      <x:c r="L142" s="25">
        <x:f>IF(K142&lt;=10,119,"")</x:f>
        <x:v>119</x:v>
      </x:c>
      <x:c r="N142"/>
    </x:row>
    <x:row r="143" spans="1:14" ht="18" customHeight="1">
      <x:c r="A143" s="15" t="s">
        <x:v>13</x:v>
      </x:c>
      <x:c r="B143" s="14" t="s">
        <x:v>137</x:v>
      </x:c>
      <x:c r="C143" s="1">
        <x:v>1</x:v>
      </x:c>
      <x:c r="D143" s="9" t="s">
        <x:v>47</x:v>
      </x:c>
      <x:c r="E143" s="1" t="s">
        <x:v>218</x:v>
      </x:c>
      <x:c r="F143" s="7">
        <x:f>'2026.9.9'!J142</x:f>
        <x:v>6</x:v>
      </x:c>
      <x:c r="G143" s="1">
        <x:f>J9*C143</x:f>
        <x:v>6</x:v>
      </x:c>
      <x:c r="J143" s="12">
        <x:f>F143+I143-G143-H143</x:f>
        <x:v>0</x:v>
      </x:c>
      <x:c r="K143" s="13">
        <x:f>J143/C143</x:f>
        <x:v>0</x:v>
      </x:c>
      <x:c r="L143" s="25">
        <x:f>IF(K143&lt;=10,119,"")</x:f>
        <x:v>119</x:v>
      </x:c>
      <x:c r="N143"/>
    </x:row>
    <x:row r="144" spans="1:14" customFormat="1" ht="18" customHeight="1">
      <x:c r="A144" s="15" t="s">
        <x:v>144</x:v>
      </x:c>
      <x:c r="B144" s="14" t="s">
        <x:v>62</x:v>
      </x:c>
      <x:c r="C144" s="1">
        <x:v>1</x:v>
      </x:c>
      <x:c r="D144" s="14" t="s">
        <x:v>244</x:v>
      </x:c>
      <x:c r="E144" s="1" t="s">
        <x:v>199</x:v>
      </x:c>
      <x:c r="F144" s="7">
        <x:f>'2026.9.9'!J143</x:f>
        <x:v>0</x:v>
      </x:c>
      <x:c r="G144" s="1">
        <x:f>H23*C144</x:f>
        <x:v>0</x:v>
      </x:c>
      <x:c r="H144" s="1"/>
      <x:c r="I144" s="1"/>
      <x:c r="J144" s="12">
        <x:f>F144+I144-G144-H144</x:f>
        <x:v>0</x:v>
      </x:c>
      <x:c r="K144" s="13">
        <x:f>J144/C144</x:f>
        <x:v>0</x:v>
      </x:c>
      <x:c r="L144" s="25">
        <x:f>IF(K144&lt;=10,119,"")</x:f>
        <x:v>119</x:v>
      </x:c>
      <x:c r="M144" s="1"/>
      <x:c r="N144" s="1"/>
    </x:row>
    <x:row r="145" spans="1:14" customFormat="1" ht="18" customHeight="1">
      <x:c r="A145" s="15" t="s">
        <x:v>144</x:v>
      </x:c>
      <x:c r="B145" s="14" t="s">
        <x:v>62</x:v>
      </x:c>
      <x:c r="C145" s="1">
        <x:v>1</x:v>
      </x:c>
      <x:c r="D145" s="14" t="s">
        <x:v>247</x:v>
      </x:c>
      <x:c r="E145" s="1" t="s">
        <x:v>186</x:v>
      </x:c>
      <x:c r="F145" s="7">
        <x:f>'2026.9.9'!J144</x:f>
        <x:v>0</x:v>
      </x:c>
      <x:c r="G145" s="1">
        <x:f>H24*C145</x:f>
        <x:v>0</x:v>
      </x:c>
      <x:c r="H145" s="1"/>
      <x:c r="I145" s="1"/>
      <x:c r="J145" s="12">
        <x:f>F145+I145-G145-H145</x:f>
        <x:v>0</x:v>
      </x:c>
      <x:c r="K145" s="13">
        <x:f>J145/C145</x:f>
        <x:v>0</x:v>
      </x:c>
      <x:c r="L145" s="25">
        <x:f>IF(K145&lt;=10,119,"")</x:f>
        <x:v>119</x:v>
      </x:c>
      <x:c r="M145" s="1"/>
      <x:c r="N145" s="1"/>
    </x:row>
    <x:row r="146" spans="1:14" ht="18" customHeight="1">
      <x:c r="A146" s="15" t="s">
        <x:v>144</x:v>
      </x:c>
      <x:c r="B146" s="14" t="s">
        <x:v>62</x:v>
      </x:c>
      <x:c r="C146" s="1">
        <x:v>1</x:v>
      </x:c>
      <x:c r="D146" s="9" t="s">
        <x:v>83</x:v>
      </x:c>
      <x:c r="E146" s="1" t="s">
        <x:v>68</x:v>
      </x:c>
      <x:c r="F146" s="7">
        <x:f>'2026.9.9'!J145</x:f>
        <x:v>35</x:v>
      </x:c>
      <x:c r="G146" s="1">
        <x:f>J7*C146</x:f>
        <x:v>0</x:v>
      </x:c>
      <x:c r="J146" s="12">
        <x:f>F146+I146-G146-H146</x:f>
        <x:v>35</x:v>
      </x:c>
      <x:c r="K146" s="13">
        <x:f>J146/C146</x:f>
        <x:v>35</x:v>
      </x:c>
      <x:c r="L146" s="25" t="str">
        <x:f>IF(K146&lt;=10,119,"")</x:f>
        <x:v/>
      </x:c>
      <x:c r="M146"/>
      <x:c r="N146"/>
    </x:row>
    <x:row r="147" spans="1:14" ht="18" customHeight="1">
      <x:c r="A147" s="15" t="s">
        <x:v>144</x:v>
      </x:c>
      <x:c r="B147" s="14" t="s">
        <x:v>62</x:v>
      </x:c>
      <x:c r="C147" s="1">
        <x:v>1</x:v>
      </x:c>
      <x:c r="D147" s="9" t="s">
        <x:v>41</x:v>
      </x:c>
      <x:c r="E147" s="1" t="s">
        <x:v>107</x:v>
      </x:c>
      <x:c r="F147" s="7">
        <x:f>'2026.9.9'!J146</x:f>
        <x:v>0</x:v>
      </x:c>
      <x:c r="G147" s="1">
        <x:f>J8*C147</x:f>
        <x:v>0</x:v>
      </x:c>
      <x:c r="J147" s="12">
        <x:f>F147+I147-G147-H147</x:f>
        <x:v>0</x:v>
      </x:c>
      <x:c r="K147" s="13">
        <x:f>J147/C147</x:f>
        <x:v>0</x:v>
      </x:c>
      <x:c r="L147" s="25">
        <x:f>IF(K147&lt;=10,119,"")</x:f>
        <x:v>119</x:v>
      </x:c>
      <x:c r="N147"/>
    </x:row>
    <x:row r="148" spans="1:14" ht="18" customHeight="1">
      <x:c r="A148" s="15" t="s">
        <x:v>144</x:v>
      </x:c>
      <x:c r="B148" s="14" t="s">
        <x:v>62</x:v>
      </x:c>
      <x:c r="C148" s="1">
        <x:v>1</x:v>
      </x:c>
      <x:c r="D148" s="9" t="s">
        <x:v>47</x:v>
      </x:c>
      <x:c r="E148" s="1" t="s">
        <x:v>59</x:v>
      </x:c>
      <x:c r="F148" s="7">
        <x:f>'2026.9.9'!J147</x:f>
        <x:v>42</x:v>
      </x:c>
      <x:c r="G148" s="1">
        <x:f>J9*C148</x:f>
        <x:v>6</x:v>
      </x:c>
      <x:c r="J148" s="12">
        <x:f>F148+I148-G148-H148</x:f>
        <x:v>36</x:v>
      </x:c>
      <x:c r="K148" s="13">
        <x:f>J148/C148</x:f>
        <x:v>36</x:v>
      </x:c>
      <x:c r="L148" s="25" t="str">
        <x:f>IF(K148&lt;=10,119,"")</x:f>
        <x:v/>
      </x:c>
      <x:c r="M148"/>
      <x:c r="N148"/>
    </x:row>
    <x:row r="149" spans="1:13" ht="18" customHeight="1">
      <x:c r="A149" s="15" t="s">
        <x:v>144</x:v>
      </x:c>
      <x:c r="B149" s="14" t="s">
        <x:v>62</x:v>
      </x:c>
      <x:c r="C149" s="1">
        <x:v>1</x:v>
      </x:c>
      <x:c r="D149" s="9" t="s">
        <x:v>73</x:v>
      </x:c>
      <x:c r="E149" s="1" t="s">
        <x:v>56</x:v>
      </x:c>
      <x:c r="F149" s="7">
        <x:f>'2026.9.9'!J148</x:f>
        <x:v>32</x:v>
      </x:c>
      <x:c r="G149" s="1">
        <x:f>J10*C149</x:f>
        <x:v>0</x:v>
      </x:c>
      <x:c r="J149" s="12">
        <x:f>F149+I149-G149-H149</x:f>
        <x:v>32</x:v>
      </x:c>
      <x:c r="K149" s="13">
        <x:f>J149/C149</x:f>
        <x:v>32</x:v>
      </x:c>
      <x:c r="L149" s="25" t="str">
        <x:f>IF(K149&lt;=10,119,"")</x:f>
        <x:v/>
      </x:c>
      <x:c r="M149"/>
    </x:row>
    <x:row r="150" spans="1:14" customFormat="1" ht="18" customHeight="1">
      <x:c r="A150" s="15" t="s">
        <x:v>57</x:v>
      </x:c>
      <x:c r="B150" s="14" t="s">
        <x:v>112</x:v>
      </x:c>
      <x:c r="C150" s="1">
        <x:v>1</x:v>
      </x:c>
      <x:c r="D150" s="14" t="s">
        <x:v>244</x:v>
      </x:c>
      <x:c r="E150" s="1" t="s">
        <x:v>146</x:v>
      </x:c>
      <x:c r="F150" s="7">
        <x:f>'2026.9.9'!J149</x:f>
        <x:v>4</x:v>
      </x:c>
      <x:c r="G150" s="1">
        <x:f>H23*C150</x:f>
        <x:v>0</x:v>
      </x:c>
      <x:c r="H150" s="1"/>
      <x:c r="I150" s="1"/>
      <x:c r="J150" s="12">
        <x:f>F150+I150-G150-H150</x:f>
        <x:v>4</x:v>
      </x:c>
      <x:c r="K150" s="13">
        <x:f>J150/C150</x:f>
        <x:v>4</x:v>
      </x:c>
      <x:c r="L150" s="25">
        <x:f>IF(K150&lt;=10,119,"")</x:f>
        <x:v>119</x:v>
      </x:c>
      <x:c r="M150" s="1"/>
      <x:c r="N150" s="1"/>
    </x:row>
    <x:row r="151" spans="1:14" customFormat="1" ht="18" customHeight="1">
      <x:c r="A151" s="15" t="s">
        <x:v>57</x:v>
      </x:c>
      <x:c r="B151" s="14" t="s">
        <x:v>112</x:v>
      </x:c>
      <x:c r="C151" s="1">
        <x:v>1</x:v>
      </x:c>
      <x:c r="D151" s="14" t="s">
        <x:v>247</x:v>
      </x:c>
      <x:c r="E151" s="1" t="s">
        <x:v>145</x:v>
      </x:c>
      <x:c r="F151" s="7">
        <x:f>'2026.9.9'!J150</x:f>
        <x:v>14</x:v>
      </x:c>
      <x:c r="G151" s="1">
        <x:f>H24*C151</x:f>
        <x:v>0</x:v>
      </x:c>
      <x:c r="H151" s="1"/>
      <x:c r="I151" s="1"/>
      <x:c r="J151" s="12">
        <x:f>F151+I151-G151-H151</x:f>
        <x:v>14</x:v>
      </x:c>
      <x:c r="K151" s="13">
        <x:f>J151/C151</x:f>
        <x:v>14</x:v>
      </x:c>
      <x:c r="L151" s="25" t="str">
        <x:f>IF(K151&lt;=10,119,"")</x:f>
        <x:v/>
      </x:c>
      <x:c r="M151" s="31"/>
      <x:c r="N151" s="1"/>
    </x:row>
    <x:row r="152" spans="1:14" ht="18" customHeight="1">
      <x:c r="A152" s="15" t="s">
        <x:v>57</x:v>
      </x:c>
      <x:c r="B152" s="14" t="s">
        <x:v>112</x:v>
      </x:c>
      <x:c r="C152" s="1">
        <x:v>1</x:v>
      </x:c>
      <x:c r="D152" s="9" t="s">
        <x:v>83</x:v>
      </x:c>
      <x:c r="E152" s="1" t="s">
        <x:v>194</x:v>
      </x:c>
      <x:c r="F152" s="7">
        <x:f>'2026.9.9'!J151</x:f>
        <x:v>41</x:v>
      </x:c>
      <x:c r="G152" s="1">
        <x:f>J7*C152</x:f>
        <x:v>0</x:v>
      </x:c>
      <x:c r="J152" s="12">
        <x:f>F152+I152-G152-H152</x:f>
        <x:v>41</x:v>
      </x:c>
      <x:c r="K152" s="13">
        <x:f>J152/C152</x:f>
        <x:v>41</x:v>
      </x:c>
      <x:c r="L152" s="25" t="str">
        <x:f>IF(K152&lt;=10,119,"")</x:f>
        <x:v/>
      </x:c>
      <x:c r="M152"/>
      <x:c r="N152"/>
    </x:row>
    <x:row r="153" spans="1:14" ht="18" customHeight="1">
      <x:c r="A153" s="15" t="s">
        <x:v>57</x:v>
      </x:c>
      <x:c r="B153" s="14" t="s">
        <x:v>112</x:v>
      </x:c>
      <x:c r="C153" s="1">
        <x:v>1</x:v>
      </x:c>
      <x:c r="D153" s="9" t="s">
        <x:v>41</x:v>
      </x:c>
      <x:c r="E153" s="1" t="s">
        <x:v>164</x:v>
      </x:c>
      <x:c r="F153" s="7">
        <x:f>'2026.9.9'!J152</x:f>
        <x:v>1</x:v>
      </x:c>
      <x:c r="G153" s="1">
        <x:f>J8*C153</x:f>
        <x:v>0</x:v>
      </x:c>
      <x:c r="J153" s="12">
        <x:f>F153+I153-G153-H153</x:f>
        <x:v>1</x:v>
      </x:c>
      <x:c r="K153" s="13">
        <x:f>J153/C153</x:f>
        <x:v>1</x:v>
      </x:c>
      <x:c r="L153" s="25">
        <x:f>IF(K153&lt;=10,119,"")</x:f>
        <x:v>119</x:v>
      </x:c>
      <x:c r="N153"/>
    </x:row>
    <x:row r="154" spans="1:14" ht="18" customHeight="1">
      <x:c r="A154" s="15" t="s">
        <x:v>57</x:v>
      </x:c>
      <x:c r="B154" s="14" t="s">
        <x:v>112</x:v>
      </x:c>
      <x:c r="C154" s="1">
        <x:v>1</x:v>
      </x:c>
      <x:c r="D154" s="9" t="s">
        <x:v>47</x:v>
      </x:c>
      <x:c r="E154" s="1" t="s">
        <x:v>146</x:v>
      </x:c>
      <x:c r="F154" s="7">
        <x:f>'2026.9.9'!J153</x:f>
        <x:v>34</x:v>
      </x:c>
      <x:c r="G154" s="1">
        <x:f>J9*C154</x:f>
        <x:v>6</x:v>
      </x:c>
      <x:c r="J154" s="12">
        <x:f>F154+I154-G154-H154</x:f>
        <x:v>28</x:v>
      </x:c>
      <x:c r="K154" s="13">
        <x:f>J154/C154</x:f>
        <x:v>28</x:v>
      </x:c>
      <x:c r="L154" s="25" t="str">
        <x:f>IF(K154&lt;=10,119,"")</x:f>
        <x:v/>
      </x:c>
      <x:c r="M154"/>
      <x:c r="N154"/>
    </x:row>
    <x:row r="155" spans="1:13" ht="18" customHeight="1">
      <x:c r="A155" s="15" t="s">
        <x:v>57</x:v>
      </x:c>
      <x:c r="B155" s="14" t="s">
        <x:v>112</x:v>
      </x:c>
      <x:c r="C155" s="1">
        <x:v>1</x:v>
      </x:c>
      <x:c r="D155" s="9" t="s">
        <x:v>73</x:v>
      </x:c>
      <x:c r="E155" s="1" t="s">
        <x:v>146</x:v>
      </x:c>
      <x:c r="F155" s="7">
        <x:f>'2026.9.9'!J154</x:f>
        <x:v>32</x:v>
      </x:c>
      <x:c r="G155" s="1">
        <x:f>J10*C155</x:f>
        <x:v>0</x:v>
      </x:c>
      <x:c r="J155" s="12">
        <x:f>F155+I155-G155-H155</x:f>
        <x:v>32</x:v>
      </x:c>
      <x:c r="K155" s="13">
        <x:f>J155/C155</x:f>
        <x:v>32</x:v>
      </x:c>
      <x:c r="L155" s="25" t="str">
        <x:f>IF(K155&lt;=10,119,"")</x:f>
        <x:v/>
      </x:c>
      <x:c r="M155"/>
    </x:row>
    <x:row r="156" spans="1:14" customFormat="1" ht="18" customHeight="1">
      <x:c r="A156" s="15" t="s">
        <x:v>149</x:v>
      </x:c>
      <x:c r="B156" s="14" t="s">
        <x:v>229</x:v>
      </x:c>
      <x:c r="C156" s="1">
        <x:v>1</x:v>
      </x:c>
      <x:c r="D156" s="14" t="s">
        <x:v>246</x:v>
      </x:c>
      <x:c r="E156" s="1" t="s">
        <x:v>289</x:v>
      </x:c>
      <x:c r="F156" s="7">
        <x:f>'2026.9.9'!J155</x:f>
        <x:v>1</x:v>
      </x:c>
      <x:c r="G156" s="1">
        <x:f>SUM(H7:H8)*C156</x:f>
        <x:v>0</x:v>
      </x:c>
      <x:c r="H156" s="1"/>
      <x:c r="I156" s="1"/>
      <x:c r="J156" s="12">
        <x:f>F156+I156-G156-H156</x:f>
        <x:v>1</x:v>
      </x:c>
      <x:c r="K156" s="13">
        <x:f>J156/C156</x:f>
        <x:v>1</x:v>
      </x:c>
      <x:c r="L156" s="25">
        <x:f>IF(K156&lt;=10,119,"")</x:f>
        <x:v>119</x:v>
      </x:c>
      <x:c r="M156" s="1"/>
      <x:c r="N156" s="1"/>
    </x:row>
    <x:row r="157" spans="1:14" customFormat="1" ht="18" customHeight="1">
      <x:c r="A157" s="15" t="s">
        <x:v>149</x:v>
      </x:c>
      <x:c r="B157" s="14" t="s">
        <x:v>229</x:v>
      </x:c>
      <x:c r="C157" s="1">
        <x:v>1</x:v>
      </x:c>
      <x:c r="D157" s="14" t="s">
        <x:v>246</x:v>
      </x:c>
      <x:c r="E157" s="6" t="s">
        <x:v>162</x:v>
      </x:c>
      <x:c r="F157" s="7">
        <x:f>'2026.9.9'!J156</x:f>
        <x:v>3</x:v>
      </x:c>
      <x:c r="G157" s="1">
        <x:f>SUM(H7:H8)*C157</x:f>
        <x:v>0</x:v>
      </x:c>
      <x:c r="H157" s="1"/>
      <x:c r="I157" s="1"/>
      <x:c r="J157" s="12">
        <x:f>F157+I157-G157-H157</x:f>
        <x:v>3</x:v>
      </x:c>
      <x:c r="K157" s="13">
        <x:f>J157/C157</x:f>
        <x:v>3</x:v>
      </x:c>
      <x:c r="L157" s="25">
        <x:f>IF(K157&lt;=10,119,"")</x:f>
        <x:v>119</x:v>
      </x:c>
      <x:c r="M157" s="1"/>
      <x:c r="N157" s="1"/>
    </x:row>
    <x:row r="158" spans="1:14" customFormat="1" ht="18" customHeight="1">
      <x:c r="A158" s="15" t="s">
        <x:v>149</x:v>
      </x:c>
      <x:c r="B158" s="14" t="s">
        <x:v>229</x:v>
      </x:c>
      <x:c r="C158" s="1">
        <x:v>1</x:v>
      </x:c>
      <x:c r="D158" s="14" t="s">
        <x:v>23</x:v>
      </x:c>
      <x:c r="E158" s="1" t="s">
        <x:v>289</x:v>
      </x:c>
      <x:c r="F158" s="7">
        <x:f>'2026.9.9'!J157</x:f>
        <x:v>0</x:v>
      </x:c>
      <x:c r="G158" s="1">
        <x:f>H5*C158</x:f>
        <x:v>0</x:v>
      </x:c>
      <x:c r="H158" s="1"/>
      <x:c r="I158" s="1"/>
      <x:c r="J158" s="12">
        <x:f>F158+I158-G158-H158</x:f>
        <x:v>0</x:v>
      </x:c>
      <x:c r="K158" s="13">
        <x:f>J158/C158</x:f>
        <x:v>0</x:v>
      </x:c>
      <x:c r="L158" s="25">
        <x:f>IF(K158&lt;=10,119,"")</x:f>
        <x:v>119</x:v>
      </x:c>
      <x:c r="M158" s="1"/>
      <x:c r="N158" s="1"/>
    </x:row>
    <x:row r="159" spans="1:14" customFormat="1" ht="18" customHeight="1">
      <x:c r="A159" s="15" t="s">
        <x:v>149</x:v>
      </x:c>
      <x:c r="B159" s="14" t="s">
        <x:v>229</x:v>
      </x:c>
      <x:c r="C159" s="1">
        <x:v>1</x:v>
      </x:c>
      <x:c r="D159" s="14" t="s">
        <x:v>23</x:v>
      </x:c>
      <x:c r="E159" s="6" t="s">
        <x:v>162</x:v>
      </x:c>
      <x:c r="F159" s="7">
        <x:f>'2026.9.9'!J158</x:f>
        <x:v>0</x:v>
      </x:c>
      <x:c r="G159" s="1">
        <x:f>H5*C159</x:f>
        <x:v>0</x:v>
      </x:c>
      <x:c r="H159" s="1"/>
      <x:c r="I159" s="1"/>
      <x:c r="J159" s="12">
        <x:f>F159+I159-G159-H159</x:f>
        <x:v>0</x:v>
      </x:c>
      <x:c r="K159" s="13">
        <x:f>J159/C159</x:f>
        <x:v>0</x:v>
      </x:c>
      <x:c r="L159" s="25">
        <x:f>IF(K159&lt;=10,119,"")</x:f>
        <x:v>119</x:v>
      </x:c>
      <x:c r="M159" s="1"/>
      <x:c r="N159" s="1"/>
    </x:row>
    <x:row r="160" spans="1:14" customFormat="1" ht="18" customHeight="1">
      <x:c r="A160" s="15" t="s">
        <x:v>149</x:v>
      </x:c>
      <x:c r="B160" s="14" t="s">
        <x:v>229</x:v>
      </x:c>
      <x:c r="C160" s="1">
        <x:v>1</x:v>
      </x:c>
      <x:c r="D160" s="14" t="s">
        <x:v>51</x:v>
      </x:c>
      <x:c r="E160" s="1" t="s">
        <x:v>289</x:v>
      </x:c>
      <x:c r="F160" s="7">
        <x:f>'2026.9.9'!J159</x:f>
        <x:v>4</x:v>
      </x:c>
      <x:c r="G160" s="1">
        <x:f>H8</x:f>
        <x:v>0</x:v>
      </x:c>
      <x:c r="H160" s="1"/>
      <x:c r="I160" s="1"/>
      <x:c r="J160" s="12">
        <x:f>F160+I160-G160-H160</x:f>
        <x:v>4</x:v>
      </x:c>
      <x:c r="K160" s="13">
        <x:f>J160/C160</x:f>
        <x:v>4</x:v>
      </x:c>
      <x:c r="L160" s="25">
        <x:f>IF(K160&lt;=10,119,"")</x:f>
        <x:v>119</x:v>
      </x:c>
      <x:c r="M160" s="1"/>
      <x:c r="N160" s="1"/>
    </x:row>
    <x:row r="161" spans="1:14" customFormat="1" ht="18" customHeight="1">
      <x:c r="A161" s="15" t="s">
        <x:v>149</x:v>
      </x:c>
      <x:c r="B161" s="14" t="s">
        <x:v>229</x:v>
      </x:c>
      <x:c r="C161" s="1">
        <x:v>1</x:v>
      </x:c>
      <x:c r="D161" s="14" t="s">
        <x:v>51</x:v>
      </x:c>
      <x:c r="E161" s="6" t="s">
        <x:v>162</x:v>
      </x:c>
      <x:c r="F161" s="7">
        <x:f>'2026.9.9'!J160</x:f>
        <x:v>4</x:v>
      </x:c>
      <x:c r="G161" s="1">
        <x:f>H8</x:f>
        <x:v>0</x:v>
      </x:c>
      <x:c r="H161" s="1"/>
      <x:c r="I161" s="1"/>
      <x:c r="J161" s="12">
        <x:f>F161+I161-G161-H161</x:f>
        <x:v>4</x:v>
      </x:c>
      <x:c r="K161" s="13">
        <x:f>J161/C161</x:f>
        <x:v>4</x:v>
      </x:c>
      <x:c r="L161" s="25">
        <x:f>IF(K161&lt;=10,119,"")</x:f>
        <x:v>119</x:v>
      </x:c>
      <x:c r="M161" s="1"/>
      <x:c r="N161" s="1"/>
    </x:row>
    <x:row r="162" spans="1:14" customFormat="1" ht="18" customHeight="1">
      <x:c r="A162" s="15" t="s">
        <x:v>149</x:v>
      </x:c>
      <x:c r="B162" s="14" t="s">
        <x:v>229</x:v>
      </x:c>
      <x:c r="C162" s="1">
        <x:v>1</x:v>
      </x:c>
      <x:c r="D162" s="14" t="s">
        <x:v>230</x:v>
      </x:c>
      <x:c r="E162" s="1" t="s">
        <x:v>289</x:v>
      </x:c>
      <x:c r="F162" s="7">
        <x:f>'2026.9.9'!J161</x:f>
        <x:v>140</x:v>
      </x:c>
      <x:c r="G162" s="1">
        <x:f>SUM(H15,H9)</x:f>
        <x:v>0</x:v>
      </x:c>
      <x:c r="H162" s="1"/>
      <x:c r="I162" s="1"/>
      <x:c r="J162" s="12">
        <x:f>F162+I162-G162-H162</x:f>
        <x:v>140</x:v>
      </x:c>
      <x:c r="K162" s="13">
        <x:f>J162/C162</x:f>
        <x:v>140</x:v>
      </x:c>
      <x:c r="L162" s="25" t="str">
        <x:f>IF(K162&lt;=10,119,"")</x:f>
        <x:v/>
      </x:c>
      <x:c r="M162" s="31"/>
      <x:c r="N162" s="1"/>
    </x:row>
    <x:row r="163" spans="1:14" customFormat="1" ht="18" customHeight="1">
      <x:c r="A163" s="15" t="s">
        <x:v>149</x:v>
      </x:c>
      <x:c r="B163" s="14" t="s">
        <x:v>229</x:v>
      </x:c>
      <x:c r="C163" s="1">
        <x:v>1</x:v>
      </x:c>
      <x:c r="D163" s="14" t="s">
        <x:v>230</x:v>
      </x:c>
      <x:c r="E163" s="6" t="s">
        <x:v>162</x:v>
      </x:c>
      <x:c r="F163" s="7">
        <x:f>'2026.9.9'!J162</x:f>
        <x:v>140</x:v>
      </x:c>
      <x:c r="G163" s="1">
        <x:f>SUM(H9,H15)</x:f>
        <x:v>0</x:v>
      </x:c>
      <x:c r="H163" s="1"/>
      <x:c r="I163" s="1"/>
      <x:c r="J163" s="12">
        <x:f>F163+I163-G163-H163</x:f>
        <x:v>140</x:v>
      </x:c>
      <x:c r="K163" s="13">
        <x:f>J163/C163</x:f>
        <x:v>140</x:v>
      </x:c>
      <x:c r="L163" s="25" t="str">
        <x:f>IF(K163&lt;=10,119,"")</x:f>
        <x:v/>
      </x:c>
      <x:c r="M163" s="31"/>
      <x:c r="N163" s="1"/>
    </x:row>
    <x:row r="164" spans="1:14" customFormat="1" ht="18" customHeight="1">
      <x:c r="A164" s="15" t="s">
        <x:v>149</x:v>
      </x:c>
      <x:c r="B164" s="14" t="s">
        <x:v>229</x:v>
      </x:c>
      <x:c r="C164" s="1">
        <x:v>1</x:v>
      </x:c>
      <x:c r="D164" s="14" t="s">
        <x:v>44</x:v>
      </x:c>
      <x:c r="E164" s="1" t="s">
        <x:v>289</x:v>
      </x:c>
      <x:c r="F164" s="7">
        <x:f>'2026.9.9'!J163</x:f>
        <x:v>58</x:v>
      </x:c>
      <x:c r="G164" s="1">
        <x:f>H10</x:f>
        <x:v>0</x:v>
      </x:c>
      <x:c r="H164" s="1"/>
      <x:c r="I164" s="1"/>
      <x:c r="J164" s="12">
        <x:f>F164+I164-G164-H164</x:f>
        <x:v>58</x:v>
      </x:c>
      <x:c r="K164" s="13">
        <x:f>J164/C164</x:f>
        <x:v>58</x:v>
      </x:c>
      <x:c r="L164" s="25" t="str">
        <x:f>IF(K164&lt;=10,119,"")</x:f>
        <x:v/>
      </x:c>
      <x:c r="M164" s="31"/>
      <x:c r="N164" s="1"/>
    </x:row>
    <x:row r="165" spans="1:14" customFormat="1" ht="18" customHeight="1">
      <x:c r="A165" s="15" t="s">
        <x:v>149</x:v>
      </x:c>
      <x:c r="B165" s="14" t="s">
        <x:v>229</x:v>
      </x:c>
      <x:c r="C165" s="1">
        <x:v>1</x:v>
      </x:c>
      <x:c r="D165" s="14" t="s">
        <x:v>44</x:v>
      </x:c>
      <x:c r="E165" s="6" t="s">
        <x:v>162</x:v>
      </x:c>
      <x:c r="F165" s="7">
        <x:f>'2026.9.9'!J164</x:f>
        <x:v>58</x:v>
      </x:c>
      <x:c r="G165" s="1">
        <x:f>H10</x:f>
        <x:v>0</x:v>
      </x:c>
      <x:c r="H165" s="1"/>
      <x:c r="I165" s="1"/>
      <x:c r="J165" s="12">
        <x:f>F165+I165-G165-H165</x:f>
        <x:v>58</x:v>
      </x:c>
      <x:c r="K165" s="13">
        <x:f>J165/C165</x:f>
        <x:v>58</x:v>
      </x:c>
      <x:c r="L165" s="25" t="str">
        <x:f>IF(K165&lt;=10,119,"")</x:f>
        <x:v/>
      </x:c>
      <x:c r="M165" s="31"/>
      <x:c r="N165" s="1"/>
    </x:row>
    <x:row r="166" spans="1:14" customFormat="1" ht="18" customHeight="1">
      <x:c r="A166" s="15" t="s">
        <x:v>149</x:v>
      </x:c>
      <x:c r="B166" s="14" t="s">
        <x:v>229</x:v>
      </x:c>
      <x:c r="C166" s="1">
        <x:v>1</x:v>
      </x:c>
      <x:c r="D166" s="14" t="s">
        <x:v>76</x:v>
      </x:c>
      <x:c r="E166" s="1" t="s">
        <x:v>289</x:v>
      </x:c>
      <x:c r="F166" s="7">
        <x:f>'2026.9.9'!J165</x:f>
        <x:v>0</x:v>
      </x:c>
      <x:c r="G166" s="1">
        <x:f>H12</x:f>
        <x:v>0</x:v>
      </x:c>
      <x:c r="H166" s="1"/>
      <x:c r="I166" s="1"/>
      <x:c r="J166" s="12">
        <x:f>F166+I166-G166-H166</x:f>
        <x:v>0</x:v>
      </x:c>
      <x:c r="K166" s="13">
        <x:f>J166/C166</x:f>
        <x:v>0</x:v>
      </x:c>
      <x:c r="L166" s="25">
        <x:f>IF(K166&lt;=10,119,"")</x:f>
        <x:v>119</x:v>
      </x:c>
      <x:c r="M166" s="1"/>
      <x:c r="N166" s="1"/>
    </x:row>
    <x:row r="167" spans="1:14" customFormat="1" ht="18" customHeight="1">
      <x:c r="A167" s="15" t="s">
        <x:v>149</x:v>
      </x:c>
      <x:c r="B167" s="14" t="s">
        <x:v>229</x:v>
      </x:c>
      <x:c r="C167" s="1">
        <x:v>1</x:v>
      </x:c>
      <x:c r="D167" s="14" t="s">
        <x:v>76</x:v>
      </x:c>
      <x:c r="E167" s="6" t="s">
        <x:v>162</x:v>
      </x:c>
      <x:c r="F167" s="7">
        <x:f>'2026.9.9'!J166</x:f>
        <x:v>0</x:v>
      </x:c>
      <x:c r="G167" s="1">
        <x:f>H12</x:f>
        <x:v>0</x:v>
      </x:c>
      <x:c r="H167" s="1"/>
      <x:c r="I167" s="1"/>
      <x:c r="J167" s="12">
        <x:f>F167+I167-G167-H167</x:f>
        <x:v>0</x:v>
      </x:c>
      <x:c r="K167" s="13">
        <x:f>J167/C167</x:f>
        <x:v>0</x:v>
      </x:c>
      <x:c r="L167" s="25">
        <x:f>IF(K167&lt;=10,119,"")</x:f>
        <x:v>119</x:v>
      </x:c>
      <x:c r="M167" s="1"/>
      <x:c r="N167" s="1"/>
    </x:row>
    <x:row r="168" spans="1:14" customFormat="1" ht="18" customHeight="1">
      <x:c r="A168" s="15" t="s">
        <x:v>149</x:v>
      </x:c>
      <x:c r="B168" s="14" t="s">
        <x:v>229</x:v>
      </x:c>
      <x:c r="C168" s="1">
        <x:v>1</x:v>
      </x:c>
      <x:c r="D168" s="14" t="s">
        <x:v>6</x:v>
      </x:c>
      <x:c r="E168" s="1" t="s">
        <x:v>289</x:v>
      </x:c>
      <x:c r="F168" s="7">
        <x:f>'2026.9.9'!J167</x:f>
        <x:v>14</x:v>
      </x:c>
      <x:c r="G168" s="1">
        <x:f>SUM(H13,H16)*C168</x:f>
        <x:v>0</x:v>
      </x:c>
      <x:c r="H168" s="1"/>
      <x:c r="I168" s="1"/>
      <x:c r="J168" s="12">
        <x:f>F168+I168-G168-H168</x:f>
        <x:v>14</x:v>
      </x:c>
      <x:c r="K168" s="13">
        <x:f>J168/C168</x:f>
        <x:v>14</x:v>
      </x:c>
      <x:c r="L168" s="25" t="str">
        <x:f>IF(K168&lt;=10,119,"")</x:f>
        <x:v/>
      </x:c>
      <x:c r="M168" s="31"/>
      <x:c r="N168" s="1"/>
    </x:row>
    <x:row r="169" spans="1:14" customFormat="1" ht="18" customHeight="1">
      <x:c r="A169" s="15" t="s">
        <x:v>149</x:v>
      </x:c>
      <x:c r="B169" s="14" t="s">
        <x:v>229</x:v>
      </x:c>
      <x:c r="C169" s="1">
        <x:v>1</x:v>
      </x:c>
      <x:c r="D169" s="14" t="s">
        <x:v>6</x:v>
      </x:c>
      <x:c r="E169" s="6" t="s">
        <x:v>162</x:v>
      </x:c>
      <x:c r="F169" s="7">
        <x:f>'2026.9.9'!J168</x:f>
        <x:v>14</x:v>
      </x:c>
      <x:c r="G169" s="1">
        <x:f>SUM(H13,H16)*C169</x:f>
        <x:v>0</x:v>
      </x:c>
      <x:c r="H169" s="1"/>
      <x:c r="I169" s="1"/>
      <x:c r="J169" s="12">
        <x:f>F169+I169-G169-H169</x:f>
        <x:v>14</x:v>
      </x:c>
      <x:c r="K169" s="13">
        <x:f>J169/C169</x:f>
        <x:v>14</x:v>
      </x:c>
      <x:c r="L169" s="25" t="str">
        <x:f>IF(K169&lt;=10,119,"")</x:f>
        <x:v/>
      </x:c>
      <x:c r="M169" s="31"/>
      <x:c r="N169" s="1"/>
    </x:row>
    <x:row r="170" spans="1:14" customFormat="1" ht="18" customHeight="1">
      <x:c r="A170" s="15" t="s">
        <x:v>149</x:v>
      </x:c>
      <x:c r="B170" s="14" t="s">
        <x:v>229</x:v>
      </x:c>
      <x:c r="C170" s="1">
        <x:v>1</x:v>
      </x:c>
      <x:c r="D170" s="14" t="s">
        <x:v>249</x:v>
      </x:c>
      <x:c r="E170" s="1" t="s">
        <x:v>289</x:v>
      </x:c>
      <x:c r="F170" s="7">
        <x:f>'2026.9.9'!J169</x:f>
        <x:v>106</x:v>
      </x:c>
      <x:c r="G170" s="1">
        <x:f>SUM(H18,H20,H21)</x:f>
        <x:v>0</x:v>
      </x:c>
      <x:c r="H170" s="1"/>
      <x:c r="I170" s="1"/>
      <x:c r="J170" s="12">
        <x:f>F170+I170-G170-H170</x:f>
        <x:v>106</x:v>
      </x:c>
      <x:c r="K170" s="13">
        <x:f>J170/C170</x:f>
        <x:v>106</x:v>
      </x:c>
      <x:c r="L170" s="25" t="str">
        <x:f>IF(K170&lt;=10,119,"")</x:f>
        <x:v/>
      </x:c>
      <x:c r="M170" s="31"/>
      <x:c r="N170" s="1"/>
    </x:row>
    <x:row r="171" spans="1:14" customFormat="1" ht="18" customHeight="1">
      <x:c r="A171" s="15" t="s">
        <x:v>149</x:v>
      </x:c>
      <x:c r="B171" s="14" t="s">
        <x:v>229</x:v>
      </x:c>
      <x:c r="C171" s="1">
        <x:v>1</x:v>
      </x:c>
      <x:c r="D171" s="14" t="s">
        <x:v>249</x:v>
      </x:c>
      <x:c r="E171" s="6" t="s">
        <x:v>162</x:v>
      </x:c>
      <x:c r="F171" s="7">
        <x:f>'2026.9.9'!J170</x:f>
        <x:v>106</x:v>
      </x:c>
      <x:c r="G171" s="1">
        <x:f>SUM(H18,H20,H21)</x:f>
        <x:v>0</x:v>
      </x:c>
      <x:c r="H171" s="1"/>
      <x:c r="I171" s="1"/>
      <x:c r="J171" s="12">
        <x:f>F171+I171-G171-H171</x:f>
        <x:v>106</x:v>
      </x:c>
      <x:c r="K171" s="13">
        <x:f>J171/C171</x:f>
        <x:v>106</x:v>
      </x:c>
      <x:c r="L171" s="25" t="str">
        <x:f>IF(K171&lt;=10,119,"")</x:f>
        <x:v/>
      </x:c>
      <x:c r="M171" s="31"/>
      <x:c r="N171" s="1"/>
    </x:row>
    <x:row r="172" spans="1:14" customFormat="1" ht="18" customHeight="1">
      <x:c r="A172" s="15" t="s">
        <x:v>149</x:v>
      </x:c>
      <x:c r="B172" s="14" t="s">
        <x:v>229</x:v>
      </x:c>
      <x:c r="C172" s="1">
        <x:v>1</x:v>
      </x:c>
      <x:c r="D172" s="14" t="s">
        <x:v>70</x:v>
      </x:c>
      <x:c r="E172" s="1" t="s">
        <x:v>289</x:v>
      </x:c>
      <x:c r="F172" s="7">
        <x:f>'2026.9.9'!J171</x:f>
        <x:v>114</x:v>
      </x:c>
      <x:c r="G172" s="1">
        <x:f>H22</x:f>
        <x:v>0</x:v>
      </x:c>
      <x:c r="H172" s="1"/>
      <x:c r="I172" s="1"/>
      <x:c r="J172" s="12">
        <x:f>F172+I172-G172-H172</x:f>
        <x:v>114</x:v>
      </x:c>
      <x:c r="K172" s="13">
        <x:f>J172/C172</x:f>
        <x:v>114</x:v>
      </x:c>
      <x:c r="L172" s="25" t="str">
        <x:f>IF(K172&lt;=10,119,"")</x:f>
        <x:v/>
      </x:c>
      <x:c r="M172" s="31"/>
      <x:c r="N172" s="1"/>
    </x:row>
    <x:row r="173" spans="1:14" customFormat="1" ht="18" customHeight="1">
      <x:c r="A173" s="15" t="s">
        <x:v>149</x:v>
      </x:c>
      <x:c r="B173" s="14" t="s">
        <x:v>229</x:v>
      </x:c>
      <x:c r="C173" s="1">
        <x:v>1</x:v>
      </x:c>
      <x:c r="D173" s="14" t="s">
        <x:v>70</x:v>
      </x:c>
      <x:c r="E173" s="6" t="s">
        <x:v>162</x:v>
      </x:c>
      <x:c r="F173" s="7">
        <x:f>'2026.9.9'!J172</x:f>
        <x:v>114</x:v>
      </x:c>
      <x:c r="G173" s="1">
        <x:f>H22</x:f>
        <x:v>0</x:v>
      </x:c>
      <x:c r="H173" s="1"/>
      <x:c r="I173" s="1"/>
      <x:c r="J173" s="12">
        <x:f>F173+I173-G173-H173</x:f>
        <x:v>114</x:v>
      </x:c>
      <x:c r="K173" s="13">
        <x:f>J173/C173</x:f>
        <x:v>114</x:v>
      </x:c>
      <x:c r="L173" s="25" t="str">
        <x:f>IF(K173&lt;=10,119,"")</x:f>
        <x:v/>
      </x:c>
      <x:c r="M173" s="31"/>
      <x:c r="N173" s="1"/>
    </x:row>
    <x:row r="174" spans="1:14" customFormat="1" ht="18" customHeight="1">
      <x:c r="A174" s="15" t="s">
        <x:v>149</x:v>
      </x:c>
      <x:c r="B174" s="14" t="s">
        <x:v>229</x:v>
      </x:c>
      <x:c r="C174" s="1">
        <x:v>1</x:v>
      </x:c>
      <x:c r="D174" s="14" t="s">
        <x:v>244</x:v>
      </x:c>
      <x:c r="E174" s="1" t="s">
        <x:v>289</x:v>
      </x:c>
      <x:c r="F174" s="7">
        <x:f>'2026.9.9'!J173</x:f>
        <x:v>0</x:v>
      </x:c>
      <x:c r="G174" s="1">
        <x:f>H23*C174</x:f>
        <x:v>0</x:v>
      </x:c>
      <x:c r="H174" s="1"/>
      <x:c r="I174" s="1"/>
      <x:c r="J174" s="12">
        <x:f>F174+I174-G174-H174</x:f>
        <x:v>0</x:v>
      </x:c>
      <x:c r="K174" s="13">
        <x:f>J174/C174</x:f>
        <x:v>0</x:v>
      </x:c>
      <x:c r="L174" s="25">
        <x:f>IF(K174&lt;=10,119,"")</x:f>
        <x:v>119</x:v>
      </x:c>
      <x:c r="M174" s="1"/>
      <x:c r="N174" s="1"/>
    </x:row>
    <x:row r="175" spans="1:14" customFormat="1" ht="18" customHeight="1">
      <x:c r="A175" s="15" t="s">
        <x:v>149</x:v>
      </x:c>
      <x:c r="B175" s="14" t="s">
        <x:v>229</x:v>
      </x:c>
      <x:c r="C175" s="1">
        <x:v>1</x:v>
      </x:c>
      <x:c r="D175" s="14" t="s">
        <x:v>244</x:v>
      </x:c>
      <x:c r="E175" s="6" t="s">
        <x:v>162</x:v>
      </x:c>
      <x:c r="F175" s="7">
        <x:f>'2026.9.9'!J174</x:f>
        <x:v>0</x:v>
      </x:c>
      <x:c r="G175" s="1">
        <x:f>H23*C175</x:f>
        <x:v>0</x:v>
      </x:c>
      <x:c r="H175" s="1"/>
      <x:c r="I175" s="1"/>
      <x:c r="J175" s="12">
        <x:f>F175+I175-G175-H175</x:f>
        <x:v>0</x:v>
      </x:c>
      <x:c r="K175" s="13">
        <x:f>J175/C175</x:f>
        <x:v>0</x:v>
      </x:c>
      <x:c r="L175" s="25">
        <x:f>IF(K175&lt;=10,119,"")</x:f>
        <x:v>119</x:v>
      </x:c>
      <x:c r="M175" s="1"/>
      <x:c r="N175" s="1"/>
    </x:row>
    <x:row r="176" spans="1:14" customFormat="1" ht="18" customHeight="1">
      <x:c r="A176" s="15" t="s">
        <x:v>149</x:v>
      </x:c>
      <x:c r="B176" s="14" t="s">
        <x:v>229</x:v>
      </x:c>
      <x:c r="C176" s="1">
        <x:v>1</x:v>
      </x:c>
      <x:c r="D176" s="14" t="s">
        <x:v>247</x:v>
      </x:c>
      <x:c r="E176" s="1" t="s">
        <x:v>289</x:v>
      </x:c>
      <x:c r="F176" s="7">
        <x:f>'2026.9.9'!J175</x:f>
        <x:v>0</x:v>
      </x:c>
      <x:c r="G176" s="1">
        <x:f>H24*C176</x:f>
        <x:v>0</x:v>
      </x:c>
      <x:c r="H176" s="1"/>
      <x:c r="I176" s="1"/>
      <x:c r="J176" s="12">
        <x:f>F176+I176-G176-H176</x:f>
        <x:v>0</x:v>
      </x:c>
      <x:c r="K176" s="13">
        <x:f>J176/C176</x:f>
        <x:v>0</x:v>
      </x:c>
      <x:c r="L176" s="25">
        <x:f>IF(K176&lt;=10,119,"")</x:f>
        <x:v>119</x:v>
      </x:c>
      <x:c r="M176" s="1"/>
      <x:c r="N176" s="1"/>
    </x:row>
    <x:row r="177" spans="1:14" customFormat="1" ht="18" customHeight="1">
      <x:c r="A177" s="15" t="s">
        <x:v>149</x:v>
      </x:c>
      <x:c r="B177" s="14" t="s">
        <x:v>229</x:v>
      </x:c>
      <x:c r="C177" s="1">
        <x:v>1</x:v>
      </x:c>
      <x:c r="D177" s="14" t="s">
        <x:v>247</x:v>
      </x:c>
      <x:c r="E177" s="6" t="s">
        <x:v>162</x:v>
      </x:c>
      <x:c r="F177" s="7">
        <x:f>'2026.9.9'!J176</x:f>
        <x:v>0</x:v>
      </x:c>
      <x:c r="G177" s="1">
        <x:f>H24*C177</x:f>
        <x:v>0</x:v>
      </x:c>
      <x:c r="H177" s="1"/>
      <x:c r="I177" s="1"/>
      <x:c r="J177" s="12">
        <x:f>F177+I177-G177-H177</x:f>
        <x:v>0</x:v>
      </x:c>
      <x:c r="K177" s="13">
        <x:f>J177/C177</x:f>
        <x:v>0</x:v>
      </x:c>
      <x:c r="L177" s="25">
        <x:f>IF(K177&lt;=10,119,"")</x:f>
        <x:v>119</x:v>
      </x:c>
      <x:c r="M177" s="1"/>
      <x:c r="N177" s="1"/>
    </x:row>
    <x:row r="178" spans="1:14" customFormat="1" ht="18" customHeight="1">
      <x:c r="A178" s="15" t="s">
        <x:v>149</x:v>
      </x:c>
      <x:c r="B178" s="14" t="s">
        <x:v>229</x:v>
      </x:c>
      <x:c r="C178" s="1">
        <x:v>1</x:v>
      </x:c>
      <x:c r="D178" s="14" t="s">
        <x:v>22</x:v>
      </x:c>
      <x:c r="E178" s="1" t="s">
        <x:v>289</x:v>
      </x:c>
      <x:c r="F178" s="7">
        <x:f>'2026.9.9'!J177</x:f>
        <x:v>0</x:v>
      </x:c>
      <x:c r="G178" s="1">
        <x:f>H25*C178</x:f>
        <x:v>0</x:v>
      </x:c>
      <x:c r="H178" s="1"/>
      <x:c r="I178" s="1"/>
      <x:c r="J178" s="12">
        <x:f>F178+I178-G178-H178</x:f>
        <x:v>0</x:v>
      </x:c>
      <x:c r="K178" s="13">
        <x:f>J178/C178</x:f>
        <x:v>0</x:v>
      </x:c>
      <x:c r="L178" s="25">
        <x:f>IF(K178&lt;=10,119,"")</x:f>
        <x:v>119</x:v>
      </x:c>
      <x:c r="M178" s="1"/>
      <x:c r="N178" s="1"/>
    </x:row>
    <x:row r="179" spans="1:14" customFormat="1" ht="18" customHeight="1">
      <x:c r="A179" s="15" t="s">
        <x:v>149</x:v>
      </x:c>
      <x:c r="B179" s="14" t="s">
        <x:v>229</x:v>
      </x:c>
      <x:c r="C179" s="1">
        <x:v>1</x:v>
      </x:c>
      <x:c r="D179" s="14" t="s">
        <x:v>22</x:v>
      </x:c>
      <x:c r="E179" s="6" t="s">
        <x:v>162</x:v>
      </x:c>
      <x:c r="F179" s="7">
        <x:f>'2026.9.9'!J178</x:f>
        <x:v>0</x:v>
      </x:c>
      <x:c r="G179" s="1">
        <x:f>H25*C179</x:f>
        <x:v>0</x:v>
      </x:c>
      <x:c r="H179" s="1"/>
      <x:c r="I179" s="1"/>
      <x:c r="J179" s="12">
        <x:f>F179+I179-G179-H179</x:f>
        <x:v>0</x:v>
      </x:c>
      <x:c r="K179" s="13">
        <x:f>J179/C179</x:f>
        <x:v>0</x:v>
      </x:c>
      <x:c r="L179" s="25">
        <x:f>IF(K179&lt;=10,119,"")</x:f>
        <x:v>119</x:v>
      </x:c>
      <x:c r="M179" s="1"/>
      <x:c r="N179" s="1"/>
    </x:row>
    <x:row r="180" spans="1:14" customFormat="1" ht="18" customHeight="1">
      <x:c r="A180" s="15" t="s">
        <x:v>149</x:v>
      </x:c>
      <x:c r="B180" s="14" t="s">
        <x:v>229</x:v>
      </x:c>
      <x:c r="C180" s="1">
        <x:v>1</x:v>
      </x:c>
      <x:c r="D180" s="14" t="s">
        <x:v>96</x:v>
      </x:c>
      <x:c r="E180" s="1" t="s">
        <x:v>289</x:v>
      </x:c>
      <x:c r="F180" s="7">
        <x:f>'2026.9.9'!J179</x:f>
        <x:v>2</x:v>
      </x:c>
      <x:c r="G180" s="1">
        <x:f>H26*C180</x:f>
        <x:v>0</x:v>
      </x:c>
      <x:c r="H180" s="1"/>
      <x:c r="I180" s="1"/>
      <x:c r="J180" s="12">
        <x:f>F180+I180-G180-H180</x:f>
        <x:v>2</x:v>
      </x:c>
      <x:c r="K180" s="13">
        <x:f>J180/C180</x:f>
        <x:v>2</x:v>
      </x:c>
      <x:c r="L180" s="25">
        <x:f>IF(K180&lt;=10,119,"")</x:f>
        <x:v>119</x:v>
      </x:c>
      <x:c r="M180" s="1"/>
      <x:c r="N180" s="1"/>
    </x:row>
    <x:row r="181" spans="1:14" customFormat="1" ht="18" customHeight="1">
      <x:c r="A181" s="15" t="s">
        <x:v>149</x:v>
      </x:c>
      <x:c r="B181" s="14" t="s">
        <x:v>229</x:v>
      </x:c>
      <x:c r="C181" s="1">
        <x:v>1</x:v>
      </x:c>
      <x:c r="D181" s="14" t="s">
        <x:v>96</x:v>
      </x:c>
      <x:c r="E181" s="6" t="s">
        <x:v>162</x:v>
      </x:c>
      <x:c r="F181" s="7">
        <x:f>'2026.9.9'!J180</x:f>
        <x:v>2</x:v>
      </x:c>
      <x:c r="G181" s="1">
        <x:f>H26*C181</x:f>
        <x:v>0</x:v>
      </x:c>
      <x:c r="H181" s="1"/>
      <x:c r="I181" s="1"/>
      <x:c r="J181" s="12">
        <x:f>F181+I181-G181-H181</x:f>
        <x:v>2</x:v>
      </x:c>
      <x:c r="K181" s="13">
        <x:f>J181/C181</x:f>
        <x:v>2</x:v>
      </x:c>
      <x:c r="L181" s="25">
        <x:f>IF(K181&lt;=10,119,"")</x:f>
        <x:v>119</x:v>
      </x:c>
      <x:c r="M181" s="1"/>
      <x:c r="N181" s="1"/>
    </x:row>
    <x:row r="182" spans="1:14" customFormat="1" ht="18" customHeight="1">
      <x:c r="A182" s="15" t="s">
        <x:v>149</x:v>
      </x:c>
      <x:c r="B182" s="14" t="s">
        <x:v>229</x:v>
      </x:c>
      <x:c r="C182" s="1">
        <x:v>1</x:v>
      </x:c>
      <x:c r="D182" s="14" t="s">
        <x:v>83</x:v>
      </x:c>
      <x:c r="E182" s="1" t="s">
        <x:v>289</x:v>
      </x:c>
      <x:c r="F182" s="7">
        <x:f>'2026.9.9'!J181</x:f>
        <x:v>0</x:v>
      </x:c>
      <x:c r="G182" s="1">
        <x:f>J7</x:f>
        <x:v>0</x:v>
      </x:c>
      <x:c r="H182" s="1"/>
      <x:c r="I182" s="1"/>
      <x:c r="J182" s="12">
        <x:f>F182+I182-G182-H182</x:f>
        <x:v>0</x:v>
      </x:c>
      <x:c r="K182" s="13">
        <x:f>J182/C182</x:f>
        <x:v>0</x:v>
      </x:c>
      <x:c r="L182" s="25">
        <x:f>IF(K182&lt;=10,119,"")</x:f>
        <x:v>119</x:v>
      </x:c>
      <x:c r="M182" s="1"/>
      <x:c r="N182" s="1"/>
    </x:row>
    <x:row r="183" spans="1:14" customFormat="1" ht="18" customHeight="1">
      <x:c r="A183" s="15" t="s">
        <x:v>149</x:v>
      </x:c>
      <x:c r="B183" s="14" t="s">
        <x:v>229</x:v>
      </x:c>
      <x:c r="C183" s="1">
        <x:v>1</x:v>
      </x:c>
      <x:c r="D183" s="14" t="s">
        <x:v>83</x:v>
      </x:c>
      <x:c r="E183" s="6" t="s">
        <x:v>162</x:v>
      </x:c>
      <x:c r="F183" s="7">
        <x:f>'2026.9.9'!J182</x:f>
        <x:v>0</x:v>
      </x:c>
      <x:c r="G183" s="1">
        <x:f>J7</x:f>
        <x:v>0</x:v>
      </x:c>
      <x:c r="H183" s="1"/>
      <x:c r="I183" s="1"/>
      <x:c r="J183" s="12">
        <x:f>F183+I183-G183-H183</x:f>
        <x:v>0</x:v>
      </x:c>
      <x:c r="K183" s="13">
        <x:f>J183/C183</x:f>
        <x:v>0</x:v>
      </x:c>
      <x:c r="L183" s="25">
        <x:f>IF(K183&lt;=10,119,"")</x:f>
        <x:v>119</x:v>
      </x:c>
      <x:c r="M183" s="1"/>
      <x:c r="N183" s="1"/>
    </x:row>
    <x:row r="184" spans="1:14" customFormat="1" ht="18" customHeight="1">
      <x:c r="A184" s="15" t="s">
        <x:v>149</x:v>
      </x:c>
      <x:c r="B184" s="14" t="s">
        <x:v>229</x:v>
      </x:c>
      <x:c r="C184" s="1">
        <x:v>1</x:v>
      </x:c>
      <x:c r="D184" s="14" t="s">
        <x:v>41</x:v>
      </x:c>
      <x:c r="E184" s="1" t="s">
        <x:v>289</x:v>
      </x:c>
      <x:c r="F184" s="7">
        <x:f>'2026.9.9'!J183</x:f>
        <x:v>0</x:v>
      </x:c>
      <x:c r="G184" s="1">
        <x:f>J8</x:f>
        <x:v>0</x:v>
      </x:c>
      <x:c r="H184" s="1"/>
      <x:c r="I184" s="1"/>
      <x:c r="J184" s="12">
        <x:f>F184+I184-G184-H184</x:f>
        <x:v>0</x:v>
      </x:c>
      <x:c r="K184" s="13">
        <x:f>J184/C184</x:f>
        <x:v>0</x:v>
      </x:c>
      <x:c r="L184" s="25">
        <x:f>IF(K184&lt;=10,119,"")</x:f>
        <x:v>119</x:v>
      </x:c>
      <x:c r="M184" s="1"/>
      <x:c r="N184" s="1"/>
    </x:row>
    <x:row r="185" spans="1:14" customFormat="1" ht="18" customHeight="1">
      <x:c r="A185" s="15" t="s">
        <x:v>149</x:v>
      </x:c>
      <x:c r="B185" s="14" t="s">
        <x:v>229</x:v>
      </x:c>
      <x:c r="C185" s="1">
        <x:v>1</x:v>
      </x:c>
      <x:c r="D185" s="14" t="s">
        <x:v>41</x:v>
      </x:c>
      <x:c r="E185" s="6" t="s">
        <x:v>162</x:v>
      </x:c>
      <x:c r="F185" s="7">
        <x:f>'2026.9.9'!J184</x:f>
        <x:v>0</x:v>
      </x:c>
      <x:c r="G185" s="1">
        <x:f>J8</x:f>
        <x:v>0</x:v>
      </x:c>
      <x:c r="H185" s="1"/>
      <x:c r="I185" s="1"/>
      <x:c r="J185" s="12">
        <x:f>F185+I185-G185-H185</x:f>
        <x:v>0</x:v>
      </x:c>
      <x:c r="K185" s="13">
        <x:f>J185/C185</x:f>
        <x:v>0</x:v>
      </x:c>
      <x:c r="L185" s="25">
        <x:f>IF(K185&lt;=10,119,"")</x:f>
        <x:v>119</x:v>
      </x:c>
      <x:c r="M185" s="1"/>
      <x:c r="N185" s="1"/>
    </x:row>
    <x:row r="186" spans="1:14" customFormat="1" ht="18" customHeight="1">
      <x:c r="A186" s="15" t="s">
        <x:v>149</x:v>
      </x:c>
      <x:c r="B186" s="14" t="s">
        <x:v>229</x:v>
      </x:c>
      <x:c r="C186" s="1">
        <x:v>1</x:v>
      </x:c>
      <x:c r="D186" s="14" t="s">
        <x:v>47</x:v>
      </x:c>
      <x:c r="E186" s="1" t="s">
        <x:v>289</x:v>
      </x:c>
      <x:c r="F186" s="7">
        <x:f>'2026.9.9'!J185</x:f>
        <x:v>7</x:v>
      </x:c>
      <x:c r="G186" s="1">
        <x:f>J9</x:f>
        <x:v>6</x:v>
      </x:c>
      <x:c r="H186" s="1"/>
      <x:c r="I186" s="1"/>
      <x:c r="J186" s="12">
        <x:f>F186+I186-G186-H186</x:f>
        <x:v>1</x:v>
      </x:c>
      <x:c r="K186" s="13">
        <x:f>J186/C186</x:f>
        <x:v>1</x:v>
      </x:c>
      <x:c r="L186" s="25">
        <x:f>IF(K186&lt;=10,119,"")</x:f>
        <x:v>119</x:v>
      </x:c>
      <x:c r="M186" s="1"/>
      <x:c r="N186" s="1"/>
    </x:row>
    <x:row r="187" spans="1:14" customFormat="1" ht="18" customHeight="1">
      <x:c r="A187" s="15" t="s">
        <x:v>149</x:v>
      </x:c>
      <x:c r="B187" s="14" t="s">
        <x:v>229</x:v>
      </x:c>
      <x:c r="C187" s="1">
        <x:v>1</x:v>
      </x:c>
      <x:c r="D187" s="14" t="s">
        <x:v>47</x:v>
      </x:c>
      <x:c r="E187" s="6" t="s">
        <x:v>162</x:v>
      </x:c>
      <x:c r="F187" s="7">
        <x:f>'2026.9.9'!J186</x:f>
        <x:v>7</x:v>
      </x:c>
      <x:c r="G187" s="1">
        <x:f>J9</x:f>
        <x:v>6</x:v>
      </x:c>
      <x:c r="H187" s="1"/>
      <x:c r="I187" s="1"/>
      <x:c r="J187" s="12">
        <x:f>F187+I187-G187-H187</x:f>
        <x:v>1</x:v>
      </x:c>
      <x:c r="K187" s="13">
        <x:f>J187/C187</x:f>
        <x:v>1</x:v>
      </x:c>
      <x:c r="L187" s="25">
        <x:f>IF(K187&lt;=10,119,"")</x:f>
        <x:v>119</x:v>
      </x:c>
      <x:c r="M187" s="1"/>
      <x:c r="N187" s="1"/>
    </x:row>
    <x:row r="188" spans="1:14" customFormat="1" ht="18" customHeight="1">
      <x:c r="A188" s="15" t="s">
        <x:v>149</x:v>
      </x:c>
      <x:c r="B188" s="14" t="s">
        <x:v>229</x:v>
      </x:c>
      <x:c r="C188" s="1">
        <x:v>1</x:v>
      </x:c>
      <x:c r="D188" s="14" t="s">
        <x:v>73</x:v>
      </x:c>
      <x:c r="E188" s="1" t="s">
        <x:v>289</x:v>
      </x:c>
      <x:c r="F188" s="7">
        <x:f>'2026.9.9'!J187</x:f>
        <x:v>2</x:v>
      </x:c>
      <x:c r="G188" s="1">
        <x:f>J10</x:f>
        <x:v>0</x:v>
      </x:c>
      <x:c r="H188" s="1"/>
      <x:c r="I188" s="1"/>
      <x:c r="J188" s="12">
        <x:f>F188+I188-G188-H188</x:f>
        <x:v>2</x:v>
      </x:c>
      <x:c r="K188" s="13">
        <x:f>J188/C188</x:f>
        <x:v>2</x:v>
      </x:c>
      <x:c r="L188" s="25">
        <x:f>IF(K188&lt;=10,119,"")</x:f>
        <x:v>119</x:v>
      </x:c>
      <x:c r="M188" s="1"/>
      <x:c r="N188" s="1"/>
    </x:row>
    <x:row r="189" spans="1:14" customFormat="1" ht="18" customHeight="1">
      <x:c r="A189" s="15" t="s">
        <x:v>149</x:v>
      </x:c>
      <x:c r="B189" s="14" t="s">
        <x:v>229</x:v>
      </x:c>
      <x:c r="C189" s="1">
        <x:v>1</x:v>
      </x:c>
      <x:c r="D189" s="14" t="s">
        <x:v>73</x:v>
      </x:c>
      <x:c r="E189" s="6" t="s">
        <x:v>162</x:v>
      </x:c>
      <x:c r="F189" s="7">
        <x:f>'2026.9.9'!J188</x:f>
        <x:v>2</x:v>
      </x:c>
      <x:c r="G189" s="1">
        <x:f>J10</x:f>
        <x:v>0</x:v>
      </x:c>
      <x:c r="H189" s="1"/>
      <x:c r="I189" s="1"/>
      <x:c r="J189" s="12">
        <x:f>F189+I189-G189-H189</x:f>
        <x:v>2</x:v>
      </x:c>
      <x:c r="K189" s="13">
        <x:f>J189/C189</x:f>
        <x:v>2</x:v>
      </x:c>
      <x:c r="L189" s="25">
        <x:f>IF(K189&lt;=10,119,"")</x:f>
        <x:v>119</x:v>
      </x:c>
      <x:c r="M189" s="1"/>
      <x:c r="N189" s="1"/>
    </x:row>
    <x:row r="190" spans="1:14" customFormat="1" ht="18" customHeight="1">
      <x:c r="A190" s="15" t="s">
        <x:v>180</x:v>
      </x:c>
      <x:c r="B190" s="14" t="s">
        <x:v>229</x:v>
      </x:c>
      <x:c r="C190" s="1">
        <x:v>1</x:v>
      </x:c>
      <x:c r="D190" s="14" t="s">
        <x:v>22</x:v>
      </x:c>
      <x:c r="E190" s="6" t="s">
        <x:v>37</x:v>
      </x:c>
      <x:c r="F190" s="7">
        <x:f>'2026.9.9'!J189</x:f>
        <x:v>0</x:v>
      </x:c>
      <x:c r="G190" s="1">
        <x:f>H25*C190</x:f>
        <x:v>0</x:v>
      </x:c>
      <x:c r="H190" s="1"/>
      <x:c r="I190" s="1"/>
      <x:c r="J190" s="12">
        <x:f>F190+I190-G190-H190</x:f>
        <x:v>0</x:v>
      </x:c>
      <x:c r="K190" s="13">
        <x:f>J190/C190</x:f>
        <x:v>0</x:v>
      </x:c>
      <x:c r="L190" s="25">
        <x:f>IF(K190&lt;=10,119,"")</x:f>
        <x:v>119</x:v>
      </x:c>
      <x:c r="M190" s="1"/>
      <x:c r="N190" s="1"/>
    </x:row>
    <x:row r="191" spans="1:14" customFormat="1" ht="18" customHeight="1">
      <x:c r="A191" s="15" t="s">
        <x:v>180</x:v>
      </x:c>
      <x:c r="B191" s="14" t="s">
        <x:v>229</x:v>
      </x:c>
      <x:c r="C191" s="1">
        <x:v>1</x:v>
      </x:c>
      <x:c r="D191" s="14" t="s">
        <x:v>96</x:v>
      </x:c>
      <x:c r="E191" s="6" t="s">
        <x:v>118</x:v>
      </x:c>
      <x:c r="F191" s="7">
        <x:f>'2026.9.9'!J190</x:f>
        <x:v>2</x:v>
      </x:c>
      <x:c r="G191" s="1">
        <x:f>H26*C191</x:f>
        <x:v>0</x:v>
      </x:c>
      <x:c r="H191" s="1"/>
      <x:c r="I191" s="1"/>
      <x:c r="J191" s="12">
        <x:f>F191+I191-G191-H191</x:f>
        <x:v>2</x:v>
      </x:c>
      <x:c r="K191" s="13">
        <x:f>J191/C191</x:f>
        <x:v>2</x:v>
      </x:c>
      <x:c r="L191" s="25">
        <x:f>IF(K191&lt;=10,119,"")</x:f>
        <x:v>119</x:v>
      </x:c>
      <x:c r="M191" s="1"/>
      <x:c r="N191" s="1"/>
    </x:row>
    <x:row r="192" spans="1:14" customHeight="1">
      <x:c r="A192" s="15" t="s">
        <x:v>163</x:v>
      </x:c>
      <x:c r="B192" s="14" t="s">
        <x:v>143</x:v>
      </x:c>
      <x:c r="C192" s="2">
        <x:v>16</x:v>
      </x:c>
      <x:c r="D192" s="9" t="s">
        <x:v>268</x:v>
      </x:c>
      <x:c r="E192" s="24" t="s">
        <x:v>35</x:v>
      </x:c>
      <x:c r="F192" s="7">
        <x:f>'2026.9.9'!J191</x:f>
        <x:v>916</x:v>
      </x:c>
      <x:c r="G192" s="1">
        <x:f>SUM(H7:H16)*16+SUM(H18:H21)*8</x:f>
        <x:v>0</x:v>
      </x:c>
      <x:c r="J192" s="12">
        <x:f>F192+I192-G192-H192</x:f>
        <x:v>916</x:v>
      </x:c>
      <x:c r="K192" s="13">
        <x:f>J192/C192</x:f>
        <x:v>57.25</x:v>
      </x:c>
      <x:c r="L192" s="25" t="str">
        <x:f>IF(K192&lt;=10,119,"")</x:f>
        <x:v/>
      </x:c>
      <x:c r="M192"/>
      <x:c r="N192"/>
    </x:row>
    <x:row r="193" spans="1:14">
      <x:c r="A193" s="15" t="s">
        <x:v>163</x:v>
      </x:c>
      <x:c r="B193" s="14" t="s">
        <x:v>143</x:v>
      </x:c>
      <x:c r="C193" s="2">
        <x:v>8</x:v>
      </x:c>
      <x:c r="D193" s="9" t="s">
        <x:v>268</x:v>
      </x:c>
      <x:c r="E193" s="1" t="s">
        <x:v>54</x:v>
      </x:c>
      <x:c r="F193" s="7">
        <x:f>'2026.9.9'!J192</x:f>
        <x:v>1190</x:v>
      </x:c>
      <x:c r="G193" s="1">
        <x:f>SUM(H7:H16)*8+SUM(H18:H21)*8</x:f>
        <x:v>0</x:v>
      </x:c>
      <x:c r="J193" s="12">
        <x:f>F193+I193-G193-H193</x:f>
        <x:v>1190</x:v>
      </x:c>
      <x:c r="K193" s="13">
        <x:f>J193/C193</x:f>
        <x:v>148.75</x:v>
      </x:c>
      <x:c r="L193" s="25" t="str">
        <x:f>IF(K193&lt;=10,119,"")</x:f>
        <x:v/>
      </x:c>
      <x:c r="M193"/>
      <x:c r="N193"/>
    </x:row>
    <x:row r="194" spans="1:14">
      <x:c r="A194" s="15" t="s">
        <x:v>163</x:v>
      </x:c>
      <x:c r="B194" s="14" t="s">
        <x:v>143</x:v>
      </x:c>
      <x:c r="C194" s="2">
        <x:v>8</x:v>
      </x:c>
      <x:c r="D194" s="9" t="s">
        <x:v>70</x:v>
      </x:c>
      <x:c r="E194" s="1" t="s">
        <x:v>20</x:v>
      </x:c>
      <x:c r="F194" s="7">
        <x:f>'2026.9.9'!J193</x:f>
        <x:v>740</x:v>
      </x:c>
      <x:c r="G194" s="1">
        <x:f>SUM(H22)*C194</x:f>
        <x:v>0</x:v>
      </x:c>
      <x:c r="J194" s="12">
        <x:f>F194+I194-G194-H194</x:f>
        <x:v>740</x:v>
      </x:c>
      <x:c r="K194" s="13">
        <x:f>J194/C194</x:f>
        <x:v>92.5</x:v>
      </x:c>
      <x:c r="L194" s="25" t="str">
        <x:f>IF(K194&lt;=10,119,"")</x:f>
        <x:v/>
      </x:c>
      <x:c r="M194"/>
      <x:c r="N194"/>
    </x:row>
    <x:row r="195" spans="1:14">
      <x:c r="A195" s="15" t="s">
        <x:v>163</x:v>
      </x:c>
      <x:c r="B195" s="14" t="s">
        <x:v>143</x:v>
      </x:c>
      <x:c r="C195" s="2">
        <x:v>8</x:v>
      </x:c>
      <x:c r="D195" s="9" t="s">
        <x:v>249</x:v>
      </x:c>
      <x:c r="E195" s="1" t="s">
        <x:v>58</x:v>
      </x:c>
      <x:c r="F195" s="7">
        <x:f>'2026.9.9'!J194</x:f>
        <x:v>130</x:v>
      </x:c>
      <x:c r="G195" s="1">
        <x:f>SUM(H18:H21)*C195</x:f>
        <x:v>0</x:v>
      </x:c>
      <x:c r="J195" s="12">
        <x:f>F195+I195-G195-H195</x:f>
        <x:v>130</x:v>
      </x:c>
      <x:c r="K195" s="13">
        <x:f>J195/C195</x:f>
        <x:v>16.25</x:v>
      </x:c>
      <x:c r="L195" s="25" t="str">
        <x:f>IF(K195&lt;=10,119,"")</x:f>
        <x:v/>
      </x:c>
      <x:c r="M195"/>
      <x:c r="N195"/>
    </x:row>
    <x:row r="196" spans="1:14">
      <x:c r="A196" s="15" t="s">
        <x:v>163</x:v>
      </x:c>
      <x:c r="B196" s="14" t="s">
        <x:v>143</x:v>
      </x:c>
      <x:c r="C196" s="2">
        <x:v>8</x:v>
      </x:c>
      <x:c r="D196" s="9" t="s">
        <x:v>70</x:v>
      </x:c>
      <x:c r="E196" s="1" t="s">
        <x:v>77</x:v>
      </x:c>
      <x:c r="F196" s="7">
        <x:f>'2026.9.9'!J195</x:f>
        <x:v>440</x:v>
      </x:c>
      <x:c r="G196" s="1">
        <x:f>H22*8</x:f>
        <x:v>0</x:v>
      </x:c>
      <x:c r="J196" s="12">
        <x:f>F196+I196-G196-H196</x:f>
        <x:v>440</x:v>
      </x:c>
      <x:c r="K196" s="13">
        <x:f>J196/C196</x:f>
        <x:v>55</x:v>
      </x:c>
      <x:c r="L196" s="25" t="str">
        <x:f>IF(K196&lt;=10,119,"")</x:f>
        <x:v/>
      </x:c>
      <x:c r="M196"/>
      <x:c r="N196"/>
    </x:row>
    <x:row r="197" spans="1:13">
      <x:c r="A197" s="15" t="s">
        <x:v>163</x:v>
      </x:c>
      <x:c r="B197" s="14" t="s">
        <x:v>143</x:v>
      </x:c>
      <x:c r="C197" s="2">
        <x:v>8</x:v>
      </x:c>
      <x:c r="D197" s="9" t="s">
        <x:v>277</x:v>
      </x:c>
      <x:c r="E197" s="1" t="s">
        <x:v>28</x:v>
      </x:c>
      <x:c r="F197" s="7">
        <x:f>'2026.9.9'!J196</x:f>
        <x:v>425</x:v>
      </x:c>
      <x:c r="G197" s="1">
        <x:f>SUM(H22,J10)*C197</x:f>
        <x:v>0</x:v>
      </x:c>
      <x:c r="J197" s="12">
        <x:f>F197+I197-G197-H197</x:f>
        <x:v>425</x:v>
      </x:c>
      <x:c r="K197" s="13">
        <x:f>J197/C197</x:f>
        <x:v>53.125</x:v>
      </x:c>
      <x:c r="L197" s="25" t="str">
        <x:f>IF(K197&lt;=10,119,"")</x:f>
        <x:v/>
      </x:c>
      <x:c r="M197"/>
    </x:row>
    <x:row r="198" spans="1:14" customFormat="1">
      <x:c r="A198" s="15" t="s">
        <x:v>163</x:v>
      </x:c>
      <x:c r="B198" s="14">
        <x:v>10.9</x:v>
      </x:c>
      <x:c r="C198" s="2">
        <x:v>4</x:v>
      </x:c>
      <x:c r="D198" s="14" t="s">
        <x:v>244</x:v>
      </x:c>
      <x:c r="E198" s="1" t="s">
        <x:v>213</x:v>
      </x:c>
      <x:c r="F198" s="7">
        <x:f>'2026.9.9'!J197</x:f>
        <x:v>26</x:v>
      </x:c>
      <x:c r="G198" s="1">
        <x:f>H23*C198</x:f>
        <x:v>0</x:v>
      </x:c>
      <x:c r="H198" s="1"/>
      <x:c r="I198" s="1"/>
      <x:c r="J198" s="12">
        <x:f>F198+I198-G198-H198</x:f>
        <x:v>26</x:v>
      </x:c>
      <x:c r="K198" s="13">
        <x:f>J198/C198</x:f>
        <x:v>6.5</x:v>
      </x:c>
      <x:c r="L198" s="25">
        <x:f>IF(K198&lt;=10,119,"")</x:f>
        <x:v>119</x:v>
      </x:c>
      <x:c r="M198" s="1"/>
      <x:c r="N198" s="1"/>
    </x:row>
    <x:row r="199" spans="1:14" customFormat="1">
      <x:c r="A199" s="15" t="s">
        <x:v>163</x:v>
      </x:c>
      <x:c r="B199" s="14">
        <x:v>10.9</x:v>
      </x:c>
      <x:c r="C199" s="2">
        <x:v>4</x:v>
      </x:c>
      <x:c r="D199" s="14" t="s">
        <x:v>276</x:v>
      </x:c>
      <x:c r="E199" s="1" t="s">
        <x:v>210</x:v>
      </x:c>
      <x:c r="F199" s="7">
        <x:f>'2026.9.9'!J198</x:f>
        <x:v>3</x:v>
      </x:c>
      <x:c r="G199" s="1">
        <x:f>SUM(H23:H24)*C199</x:f>
        <x:v>0</x:v>
      </x:c>
      <x:c r="H199" s="1"/>
      <x:c r="I199" s="1"/>
      <x:c r="J199" s="12">
        <x:f>F199+I199-G199-H199</x:f>
        <x:v>3</x:v>
      </x:c>
      <x:c r="K199" s="13">
        <x:f>J199/C199</x:f>
        <x:v>0.75</x:v>
      </x:c>
      <x:c r="L199" s="25">
        <x:f>IF(K199&lt;=10,119,"")</x:f>
        <x:v>119</x:v>
      </x:c>
      <x:c r="M199" s="1"/>
      <x:c r="N199" s="1"/>
    </x:row>
    <x:row r="200" spans="1:14" customFormat="1">
      <x:c r="A200" s="15" t="s">
        <x:v>163</x:v>
      </x:c>
      <x:c r="B200" s="14">
        <x:v>10.9</x:v>
      </x:c>
      <x:c r="C200" s="2">
        <x:v>4</x:v>
      </x:c>
      <x:c r="D200" s="14" t="s">
        <x:v>247</x:v>
      </x:c>
      <x:c r="E200" s="1" t="s">
        <x:v>224</x:v>
      </x:c>
      <x:c r="F200" s="7">
        <x:f>'2026.9.9'!J199</x:f>
        <x:v>6</x:v>
      </x:c>
      <x:c r="G200" s="1">
        <x:f>H24*C200</x:f>
        <x:v>0</x:v>
      </x:c>
      <x:c r="H200" s="1"/>
      <x:c r="I200" s="1"/>
      <x:c r="J200" s="12">
        <x:f>F200+I200-G200-H200</x:f>
        <x:v>6</x:v>
      </x:c>
      <x:c r="K200" s="13">
        <x:f>J200/C200</x:f>
        <x:v>1.5</x:v>
      </x:c>
      <x:c r="L200" s="25">
        <x:f>IF(K200&lt;=10,119,"")</x:f>
        <x:v>119</x:v>
      </x:c>
      <x:c r="M200" s="1"/>
      <x:c r="N200" s="1"/>
    </x:row>
    <x:row r="201" spans="1:14" customFormat="1">
      <x:c r="A201" s="15" t="s">
        <x:v>163</x:v>
      </x:c>
      <x:c r="B201" s="14">
        <x:v>10.9</x:v>
      </x:c>
      <x:c r="C201" s="2">
        <x:v>4</x:v>
      </x:c>
      <x:c r="D201" s="14" t="s">
        <x:v>276</x:v>
      </x:c>
      <x:c r="E201" s="1" t="s">
        <x:v>226</x:v>
      </x:c>
      <x:c r="F201" s="7">
        <x:f>'2026.9.9'!J200</x:f>
        <x:v>2</x:v>
      </x:c>
      <x:c r="G201" s="1">
        <x:f>SUM(H23:H24)*C201</x:f>
        <x:v>0</x:v>
      </x:c>
      <x:c r="H201" s="1"/>
      <x:c r="I201" s="1"/>
      <x:c r="J201" s="12">
        <x:f>F201+I201-G201-H201</x:f>
        <x:v>2</x:v>
      </x:c>
      <x:c r="K201" s="13">
        <x:f>J201/C201</x:f>
        <x:v>0.5</x:v>
      </x:c>
      <x:c r="L201" s="25">
        <x:f>IF(K201&lt;=10,119,"")</x:f>
        <x:v>119</x:v>
      </x:c>
      <x:c r="M201" s="1"/>
      <x:c r="N201" s="1"/>
    </x:row>
    <x:row r="202" spans="1:14" customFormat="1">
      <x:c r="A202" s="15" t="s">
        <x:v>163</x:v>
      </x:c>
      <x:c r="B202" s="14" t="s">
        <x:v>143</x:v>
      </x:c>
      <x:c r="C202" s="2">
        <x:v>8</x:v>
      </x:c>
      <x:c r="D202" s="14" t="s">
        <x:v>11</x:v>
      </x:c>
      <x:c r="E202" s="1" t="s">
        <x:v>209</x:v>
      </x:c>
      <x:c r="F202" s="7">
        <x:f>'2026.9.9'!J201</x:f>
        <x:v>23</x:v>
      </x:c>
      <x:c r="G202" s="1">
        <x:f>SUM(H25:H26)*C202</x:f>
        <x:v>0</x:v>
      </x:c>
      <x:c r="H202" s="1"/>
      <x:c r="I202" s="1"/>
      <x:c r="J202" s="12">
        <x:f>F202+I202-G202-H202</x:f>
        <x:v>23</x:v>
      </x:c>
      <x:c r="K202" s="13">
        <x:f>J202/C202</x:f>
        <x:v>2.875</x:v>
      </x:c>
      <x:c r="L202" s="25">
        <x:f>IF(K202&lt;=10,119,"")</x:f>
        <x:v>119</x:v>
      </x:c>
      <x:c r="M202" s="1"/>
      <x:c r="N202" s="1"/>
    </x:row>
    <x:row r="203" spans="1:14" customFormat="1">
      <x:c r="A203" s="15" t="s">
        <x:v>163</x:v>
      </x:c>
      <x:c r="B203" s="14" t="s">
        <x:v>143</x:v>
      </x:c>
      <x:c r="C203" s="2">
        <x:v>20</x:v>
      </x:c>
      <x:c r="D203" s="14" t="s">
        <x:v>11</x:v>
      </x:c>
      <x:c r="E203" s="1" t="s">
        <x:v>217</x:v>
      </x:c>
      <x:c r="F203" s="7">
        <x:f>'2026.9.9'!J202</x:f>
        <x:v>114</x:v>
      </x:c>
      <x:c r="G203" s="1">
        <x:f>SUM(H25:H26)*C203</x:f>
        <x:v>0</x:v>
      </x:c>
      <x:c r="H203" s="1"/>
      <x:c r="I203" s="1"/>
      <x:c r="J203" s="12">
        <x:f>F203+I203-G203-H203</x:f>
        <x:v>114</x:v>
      </x:c>
      <x:c r="K203" s="13">
        <x:f>J203/C203</x:f>
        <x:v>5.7000000000000002</x:v>
      </x:c>
      <x:c r="L203" s="25">
        <x:f>IF(K203&lt;=10,119,"")</x:f>
        <x:v>119</x:v>
      </x:c>
      <x:c r="M203" s="1"/>
      <x:c r="N203" s="1"/>
    </x:row>
    <x:row r="204" spans="1:14" customFormat="1">
      <x:c r="A204" s="15" t="s">
        <x:v>163</x:v>
      </x:c>
      <x:c r="B204" s="14" t="s">
        <x:v>143</x:v>
      </x:c>
      <x:c r="C204" s="2">
        <x:v>8</x:v>
      </x:c>
      <x:c r="D204" s="14" t="s">
        <x:v>11</x:v>
      </x:c>
      <x:c r="E204" s="1" t="s">
        <x:v>228</x:v>
      </x:c>
      <x:c r="F204" s="7">
        <x:f>'2026.9.9'!J203</x:f>
        <x:v>36</x:v>
      </x:c>
      <x:c r="G204" s="1">
        <x:f>SUM(H25:H26)*C204</x:f>
        <x:v>0</x:v>
      </x:c>
      <x:c r="H204" s="1"/>
      <x:c r="I204" s="1"/>
      <x:c r="J204" s="12">
        <x:f>F204+I204-G204-H204</x:f>
        <x:v>36</x:v>
      </x:c>
      <x:c r="K204" s="13">
        <x:f>J204/C204</x:f>
        <x:v>4.5</x:v>
      </x:c>
      <x:c r="L204" s="25">
        <x:f>IF(K204&lt;=10,119,"")</x:f>
        <x:v>119</x:v>
      </x:c>
      <x:c r="M204" s="1"/>
      <x:c r="N204" s="1"/>
    </x:row>
    <x:row r="205" spans="1:14">
      <x:c r="A205" s="15" t="s">
        <x:v>163</x:v>
      </x:c>
      <x:c r="B205" s="14" t="s">
        <x:v>143</x:v>
      </x:c>
      <x:c r="C205" s="2">
        <x:v>8</x:v>
      </x:c>
      <x:c r="D205" s="9" t="s">
        <x:v>47</x:v>
      </x:c>
      <x:c r="E205" s="1" t="s">
        <x:v>46</x:v>
      </x:c>
      <x:c r="F205" s="7">
        <x:f>'2026.9.9'!J204</x:f>
        <x:v>91</x:v>
      </x:c>
      <x:c r="G205" s="1">
        <x:f>J9*C205</x:f>
        <x:v>48</x:v>
      </x:c>
      <x:c r="J205" s="12">
        <x:f>F205+I205-G205-H205</x:f>
        <x:v>43</x:v>
      </x:c>
      <x:c r="K205" s="13">
        <x:f>J205/C205</x:f>
        <x:v>5.375</x:v>
      </x:c>
      <x:c r="L205" s="25">
        <x:f>IF(K205&lt;=10,119,"")</x:f>
        <x:v>119</x:v>
      </x:c>
      <x:c r="N205"/>
    </x:row>
    <x:row r="206" spans="1:13">
      <x:c r="A206" s="15" t="s">
        <x:v>163</x:v>
      </x:c>
      <x:c r="B206" s="14" t="s">
        <x:v>143</x:v>
      </x:c>
      <x:c r="C206" s="2">
        <x:v>4</x:v>
      </x:c>
      <x:c r="D206" s="9" t="s">
        <x:v>275</x:v>
      </x:c>
      <x:c r="E206" s="1" t="s">
        <x:v>42</x:v>
      </x:c>
      <x:c r="F206" s="7">
        <x:f>'2026.9.9'!J205</x:f>
        <x:v>102</x:v>
      </x:c>
      <x:c r="G206" s="1">
        <x:f>SUM(J9:J10)*C206</x:f>
        <x:v>24</x:v>
      </x:c>
      <x:c r="H206" s="1">
        <x:v>4</x:v>
      </x:c>
      <x:c r="J206" s="12">
        <x:f>F206+I206-G206-H206</x:f>
        <x:v>74</x:v>
      </x:c>
      <x:c r="K206" s="13">
        <x:f>J206/C206</x:f>
        <x:v>18.5</x:v>
      </x:c>
      <x:c r="L206" s="25" t="str">
        <x:f>IF(K206&lt;=10,119,"")</x:f>
        <x:v/>
      </x:c>
      <x:c r="M206"/>
    </x:row>
    <x:row r="207" spans="1:14" customHeight="1">
      <x:c r="A207" s="15" t="s">
        <x:v>163</x:v>
      </x:c>
      <x:c r="B207" s="14" t="s">
        <x:v>137</x:v>
      </x:c>
      <x:c r="C207" s="2">
        <x:v>4</x:v>
      </x:c>
      <x:c r="D207" s="9" t="s">
        <x:v>83</x:v>
      </x:c>
      <x:c r="E207" s="1" t="s">
        <x:v>208</x:v>
      </x:c>
      <x:c r="F207" s="7">
        <x:f>'2026.9.9'!J206</x:f>
        <x:v>110</x:v>
      </x:c>
      <x:c r="G207" s="1">
        <x:f>J7*C207</x:f>
        <x:v>0</x:v>
      </x:c>
      <x:c r="J207" s="12">
        <x:f>F207+I207-G207-H207</x:f>
        <x:v>110</x:v>
      </x:c>
      <x:c r="K207" s="13">
        <x:f>J207/C207</x:f>
        <x:v>27.5</x:v>
      </x:c>
      <x:c r="L207" s="25" t="str">
        <x:f>IF(K207&lt;=10,119,"")</x:f>
        <x:v/>
      </x:c>
      <x:c r="M207"/>
      <x:c r="N207"/>
    </x:row>
    <x:row r="208" spans="1:14">
      <x:c r="A208" s="15" t="s">
        <x:v>163</x:v>
      </x:c>
      <x:c r="B208" s="14" t="s">
        <x:v>137</x:v>
      </x:c>
      <x:c r="C208" s="2">
        <x:v>8</x:v>
      </x:c>
      <x:c r="D208" s="9" t="s">
        <x:v>83</x:v>
      </x:c>
      <x:c r="E208" s="1" t="s">
        <x:v>167</x:v>
      </x:c>
      <x:c r="F208" s="7">
        <x:f>'2026.9.9'!J207</x:f>
        <x:v>70</x:v>
      </x:c>
      <x:c r="G208" s="1">
        <x:f>J7*C208</x:f>
        <x:v>0</x:v>
      </x:c>
      <x:c r="J208" s="12">
        <x:f>F208+I208-G208-H208</x:f>
        <x:v>70</x:v>
      </x:c>
      <x:c r="K208" s="13">
        <x:f>J208/C208</x:f>
        <x:v>8.75</x:v>
      </x:c>
      <x:c r="L208" s="25">
        <x:f>IF(K208&lt;=10,119,"")</x:f>
        <x:v>119</x:v>
      </x:c>
      <x:c r="N208"/>
    </x:row>
    <x:row r="209" spans="1:14" customFormat="1">
      <x:c r="A209" s="15" t="s">
        <x:v>163</x:v>
      </x:c>
      <x:c r="B209" s="14" t="s">
        <x:v>137</x:v>
      </x:c>
      <x:c r="C209" s="2">
        <x:v>4</x:v>
      </x:c>
      <x:c r="D209" s="9" t="s">
        <x:v>41</x:v>
      </x:c>
      <x:c r="E209" s="1" t="s">
        <x:v>168</x:v>
      </x:c>
      <x:c r="F209" s="7">
        <x:f>'2026.9.9'!J208</x:f>
        <x:v>64</x:v>
      </x:c>
      <x:c r="G209" s="1">
        <x:f>J8*F209</x:f>
        <x:v>0</x:v>
      </x:c>
      <x:c r="H209" s="1"/>
      <x:c r="I209" s="1"/>
      <x:c r="J209" s="12">
        <x:f>F209+I209-G209-H209</x:f>
        <x:v>64</x:v>
      </x:c>
      <x:c r="K209" s="13">
        <x:f>J209/C209</x:f>
        <x:v>16</x:v>
      </x:c>
      <x:c r="L209" s="25" t="str">
        <x:f>IF(K209&lt;=10,119,"")</x:f>
        <x:v/>
      </x:c>
      <x:c r="M209" s="31"/>
      <x:c r="N209" s="1"/>
    </x:row>
    <x:row r="210" spans="1:14" customFormat="1">
      <x:c r="A210" s="15" t="s">
        <x:v>163</x:v>
      </x:c>
      <x:c r="B210" s="14" t="s">
        <x:v>137</x:v>
      </x:c>
      <x:c r="C210" s="2">
        <x:v>8</x:v>
      </x:c>
      <x:c r="D210" s="9" t="s">
        <x:v>41</x:v>
      </x:c>
      <x:c r="E210" s="1" t="s">
        <x:v>139</x:v>
      </x:c>
      <x:c r="F210" s="7">
        <x:f>'2026.9.9'!J209</x:f>
        <x:v>49</x:v>
      </x:c>
      <x:c r="G210" s="1">
        <x:f>J8*C210</x:f>
        <x:v>0</x:v>
      </x:c>
      <x:c r="H210" s="1"/>
      <x:c r="I210" s="1"/>
      <x:c r="J210" s="12">
        <x:f>F210+I210-G210-H210</x:f>
        <x:v>49</x:v>
      </x:c>
      <x:c r="K210" s="13">
        <x:f>J210/C210</x:f>
        <x:v>6.125</x:v>
      </x:c>
      <x:c r="L210" s="25">
        <x:f>IF(K210&lt;=10,119,"")</x:f>
        <x:v>119</x:v>
      </x:c>
      <x:c r="M210" s="1"/>
      <x:c r="N210" s="1"/>
    </x:row>
    <x:row r="211" spans="1:14">
      <x:c r="A211" s="11" t="s">
        <x:v>290</x:v>
      </x:c>
      <x:c r="B211" s="9" t="s">
        <x:v>143</x:v>
      </x:c>
      <x:c r="C211" s="1">
        <x:v>24</x:v>
      </x:c>
      <x:c r="D211" s="9" t="s">
        <x:v>262</x:v>
      </x:c>
      <x:c r="E211" s="1" t="s">
        <x:v>205</x:v>
      </x:c>
      <x:c r="F211" s="7">
        <x:f>'2026.9.9'!J210</x:f>
        <x:v>2640</x:v>
      </x:c>
      <x:c r="G211" s="1">
        <x:f>SUM(H7:H16)*C211</x:f>
        <x:v>0</x:v>
      </x:c>
      <x:c r="J211" s="12">
        <x:f>F211+I211-G211-H211</x:f>
        <x:v>2640</x:v>
      </x:c>
      <x:c r="K211" s="13">
        <x:f>J211/C211</x:f>
        <x:v>110</x:v>
      </x:c>
      <x:c r="L211" s="25" t="str">
        <x:f>IF(K211&lt;=10,119,"")</x:f>
        <x:v/>
      </x:c>
      <x:c r="M211"/>
      <x:c r="N211"/>
    </x:row>
    <x:row r="212" spans="1:14">
      <x:c r="A212" s="11" t="s">
        <x:v>290</x:v>
      </x:c>
      <x:c r="B212" s="9" t="s">
        <x:v>143</x:v>
      </x:c>
      <x:c r="C212" s="1">
        <x:v>24</x:v>
      </x:c>
      <x:c r="D212" s="9" t="s">
        <x:v>249</x:v>
      </x:c>
      <x:c r="E212" s="1" t="s">
        <x:v>178</x:v>
      </x:c>
      <x:c r="F212" s="7">
        <x:f>'2026.9.9'!J211</x:f>
        <x:v>620</x:v>
      </x:c>
      <x:c r="G212" s="1">
        <x:f>SUM(H18:H21)*C212</x:f>
        <x:v>0</x:v>
      </x:c>
      <x:c r="J212" s="12">
        <x:f>F212+I212-G212-H212</x:f>
        <x:v>620</x:v>
      </x:c>
      <x:c r="K212" s="13">
        <x:f>J212/C212</x:f>
        <x:v>25.833333333333332</x:v>
      </x:c>
      <x:c r="L212" s="25" t="str">
        <x:f>IF(K212&lt;=10,119,"")</x:f>
        <x:v/>
      </x:c>
      <x:c r="M212"/>
      <x:c r="N212"/>
    </x:row>
    <x:row r="213" spans="1:14">
      <x:c r="A213" s="11" t="s">
        <x:v>290</x:v>
      </x:c>
      <x:c r="B213" s="9" t="s">
        <x:v>143</x:v>
      </x:c>
      <x:c r="C213" s="1">
        <x:v>24</x:v>
      </x:c>
      <x:c r="D213" s="9" t="s">
        <x:v>245</x:v>
      </x:c>
      <x:c r="E213" s="1" t="s">
        <x:v>222</x:v>
      </x:c>
      <x:c r="F213" s="7">
        <x:f>'2026.9.9'!J212</x:f>
        <x:v>1500</x:v>
      </x:c>
      <x:c r="G213" s="1">
        <x:f>SUM(H7:H16)*24+SUM(H18:H21)*16+H22*12</x:f>
        <x:v>0</x:v>
      </x:c>
      <x:c r="J213" s="12">
        <x:f>F213+I213-G213-H213</x:f>
        <x:v>1500</x:v>
      </x:c>
      <x:c r="K213" s="13">
        <x:f>J213/C213</x:f>
        <x:v>62.5</x:v>
      </x:c>
      <x:c r="L213" s="25" t="str">
        <x:f>IF(K213&lt;=10,119,"")</x:f>
        <x:v/>
      </x:c>
      <x:c r="M213"/>
      <x:c r="N213"/>
    </x:row>
    <x:row r="214" spans="1:14">
      <x:c r="A214" s="11" t="s">
        <x:v>290</x:v>
      </x:c>
      <x:c r="B214" s="9" t="s">
        <x:v>143</x:v>
      </x:c>
      <x:c r="C214" s="1">
        <x:v>16</x:v>
      </x:c>
      <x:c r="D214" s="9" t="s">
        <x:v>273</x:v>
      </x:c>
      <x:c r="E214" s="1" t="s">
        <x:v>169</x:v>
      </x:c>
      <x:c r="F214" s="7">
        <x:f>'2026.9.9'!J213</x:f>
        <x:v>1150</x:v>
      </x:c>
      <x:c r="G214" s="1">
        <x:f>SUM(H18:H21)*8+(H22*16)</x:f>
        <x:v>0</x:v>
      </x:c>
      <x:c r="J214" s="12">
        <x:f>F214+I214-G214-H214</x:f>
        <x:v>1150</x:v>
      </x:c>
      <x:c r="K214" s="13">
        <x:f>J214/C214</x:f>
        <x:v>71.875</x:v>
      </x:c>
      <x:c r="L214" s="25" t="str">
        <x:f>IF(K214&lt;=10,119,"")</x:f>
        <x:v/>
      </x:c>
      <x:c r="M214"/>
      <x:c r="N214"/>
    </x:row>
    <x:row r="215" spans="1:14">
      <x:c r="A215" s="11" t="s">
        <x:v>290</x:v>
      </x:c>
      <x:c r="B215" s="9" t="s">
        <x:v>143</x:v>
      </x:c>
      <x:c r="C215" s="1">
        <x:v>8</x:v>
      </x:c>
      <x:c r="D215" s="9" t="s">
        <x:v>70</x:v>
      </x:c>
      <x:c r="E215" s="1" t="s">
        <x:v>188</x:v>
      </x:c>
      <x:c r="F215" s="7">
        <x:f>'2026.9.9'!J214</x:f>
        <x:v>900</x:v>
      </x:c>
      <x:c r="G215" s="1">
        <x:f>H22*C215</x:f>
        <x:v>0</x:v>
      </x:c>
      <x:c r="J215" s="12">
        <x:f>F215+I215-G215-H215</x:f>
        <x:v>900</x:v>
      </x:c>
      <x:c r="K215" s="13">
        <x:f>J215/C215</x:f>
        <x:v>112.5</x:v>
      </x:c>
      <x:c r="L215" s="25" t="str">
        <x:f>IF(K215&lt;=10,119,"")</x:f>
        <x:v/>
      </x:c>
      <x:c r="M215"/>
      <x:c r="N215"/>
    </x:row>
    <x:row r="216" spans="1:14" customFormat="1">
      <x:c r="A216" s="11" t="s">
        <x:v>290</x:v>
      </x:c>
      <x:c r="B216" s="9">
        <x:v>10.9</x:v>
      </x:c>
      <x:c r="C216" s="1">
        <x:v>5</x:v>
      </x:c>
      <x:c r="D216" s="14" t="s">
        <x:v>276</x:v>
      </x:c>
      <x:c r="E216" s="1" t="s">
        <x:v>222</x:v>
      </x:c>
      <x:c r="F216" s="7">
        <x:f>'2026.9.9'!J215</x:f>
        <x:v>5</x:v>
      </x:c>
      <x:c r="G216" s="1">
        <x:f>SUM(H23:H24)*C216</x:f>
        <x:v>0</x:v>
      </x:c>
      <x:c r="H216" s="1"/>
      <x:c r="I216" s="1"/>
      <x:c r="J216" s="12">
        <x:f>F216+I216-G216-H216</x:f>
        <x:v>5</x:v>
      </x:c>
      <x:c r="K216" s="13">
        <x:f>J216/C216</x:f>
        <x:v>1</x:v>
      </x:c>
      <x:c r="L216" s="25">
        <x:f>IF(K216&lt;=10,119,"")</x:f>
        <x:v>119</x:v>
      </x:c>
      <x:c r="M216" s="1"/>
      <x:c r="N216" s="1"/>
    </x:row>
    <x:row r="217" spans="1:14" customFormat="1">
      <x:c r="A217" s="11" t="s">
        <x:v>290</x:v>
      </x:c>
      <x:c r="B217" s="9" t="s">
        <x:v>143</x:v>
      </x:c>
      <x:c r="C217" s="1">
        <x:v>28</x:v>
      </x:c>
      <x:c r="D217" s="14" t="s">
        <x:v>11</x:v>
      </x:c>
      <x:c r="E217" s="1" t="s">
        <x:v>197</x:v>
      </x:c>
      <x:c r="F217" s="7">
        <x:f>'2026.9.9'!J216</x:f>
        <x:v>112</x:v>
      </x:c>
      <x:c r="G217" s="1">
        <x:f>SUM(H25:H26)*C217</x:f>
        <x:v>0</x:v>
      </x:c>
      <x:c r="H217" s="1"/>
      <x:c r="I217" s="1"/>
      <x:c r="J217" s="12">
        <x:f>F217+I217-G217-H217</x:f>
        <x:v>112</x:v>
      </x:c>
      <x:c r="K217" s="13">
        <x:f>J217/C217</x:f>
        <x:v>4</x:v>
      </x:c>
      <x:c r="L217" s="25">
        <x:f>IF(K217&lt;=10,119,"")</x:f>
        <x:v>119</x:v>
      </x:c>
      <x:c r="M217" s="1"/>
      <x:c r="N217" s="1"/>
    </x:row>
    <x:row r="218" spans="1:13">
      <x:c r="A218" s="11" t="s">
        <x:v>290</x:v>
      </x:c>
      <x:c r="B218" s="9" t="s">
        <x:v>143</x:v>
      </x:c>
      <x:c r="C218" s="1">
        <x:v>12</x:v>
      </x:c>
      <x:c r="D218" s="9" t="s">
        <x:v>275</x:v>
      </x:c>
      <x:c r="E218" s="1" t="s">
        <x:v>187</x:v>
      </x:c>
      <x:c r="F218" s="7">
        <x:f>'2026.9.9'!J217</x:f>
        <x:v>256</x:v>
      </x:c>
      <x:c r="G218" s="1">
        <x:f>SUM(J9:J10)*C218</x:f>
        <x:v>72</x:v>
      </x:c>
      <x:c r="J218" s="12">
        <x:f>F218+I218-G218-H218</x:f>
        <x:v>184</x:v>
      </x:c>
      <x:c r="K218" s="13">
        <x:f>J218/C218</x:f>
        <x:v>15.333333333333334</x:v>
      </x:c>
      <x:c r="L218" s="25" t="str">
        <x:f>IF(K218&lt;=10,119,"")</x:f>
        <x:v/>
      </x:c>
      <x:c r="M218"/>
    </x:row>
    <x:row r="219" spans="1:14">
      <x:c r="A219" s="11" t="s">
        <x:v>290</x:v>
      </x:c>
      <x:c r="B219" s="9" t="s">
        <x:v>137</x:v>
      </x:c>
      <x:c r="C219" s="1">
        <x:v>12</x:v>
      </x:c>
      <x:c r="D219" s="9" t="s">
        <x:v>83</x:v>
      </x:c>
      <x:c r="E219" s="1" t="s">
        <x:v>169</x:v>
      </x:c>
      <x:c r="F219" s="7">
        <x:f>'2026.9.9'!J218</x:f>
        <x:v>320</x:v>
      </x:c>
      <x:c r="G219" s="1">
        <x:f>J7*C219</x:f>
        <x:v>0</x:v>
      </x:c>
      <x:c r="J219" s="12">
        <x:f>F219+I219-G219-H219</x:f>
        <x:v>320</x:v>
      </x:c>
      <x:c r="K219" s="13">
        <x:f>J219/C219</x:f>
        <x:v>26.666666666666668</x:v>
      </x:c>
      <x:c r="L219" s="25" t="str">
        <x:f>IF(K219&lt;=10,119,"")</x:f>
        <x:v/>
      </x:c>
      <x:c r="M219"/>
      <x:c r="N219"/>
    </x:row>
    <x:row r="220" spans="1:14">
      <x:c r="A220" s="11" t="s">
        <x:v>290</x:v>
      </x:c>
      <x:c r="B220" s="9" t="s">
        <x:v>137</x:v>
      </x:c>
      <x:c r="C220" s="1">
        <x:v>12</x:v>
      </x:c>
      <x:c r="D220" s="9" t="s">
        <x:v>41</x:v>
      </x:c>
      <x:c r="E220" s="1" t="s">
        <x:v>187</x:v>
      </x:c>
      <x:c r="F220" s="7">
        <x:f>'2026.9.9'!J219</x:f>
        <x:v>120</x:v>
      </x:c>
      <x:c r="G220" s="1">
        <x:f>J8*C220</x:f>
        <x:v>0</x:v>
      </x:c>
      <x:c r="J220" s="12">
        <x:f>F220+I220-G220-H220</x:f>
        <x:v>120</x:v>
      </x:c>
      <x:c r="K220" s="13">
        <x:f>J220/C220</x:f>
        <x:v>10</x:v>
      </x:c>
      <x:c r="L220" s="25">
        <x:f>IF(K220&lt;=10,119,"")</x:f>
        <x:v>119</x:v>
      </x:c>
      <x:c r="N220"/>
    </x:row>
    <x:row r="221" spans="1:14">
      <x:c r="A221" s="11" t="s">
        <x:v>231</x:v>
      </x:c>
      <x:c r="B221" s="9" t="s">
        <x:v>143</x:v>
      </x:c>
      <x:c r="C221" s="1">
        <x:v>8</x:v>
      </x:c>
      <x:c r="D221" s="9" t="s">
        <x:v>262</x:v>
      </x:c>
      <x:c r="E221" s="1" t="s">
        <x:v>134</x:v>
      </x:c>
      <x:c r="F221" s="7">
        <x:f>'2026.9.9'!J220</x:f>
        <x:v>2400</x:v>
      </x:c>
      <x:c r="G221" s="1">
        <x:f>SUM(H7:H16)*C221</x:f>
        <x:v>0</x:v>
      </x:c>
      <x:c r="J221" s="12">
        <x:f>F221+I221-G221-H221</x:f>
        <x:v>2400</x:v>
      </x:c>
      <x:c r="K221" s="13">
        <x:f>J221/C221</x:f>
        <x:v>300</x:v>
      </x:c>
      <x:c r="L221" s="25" t="str">
        <x:f>IF(K221&lt;=10,119,"")</x:f>
        <x:v/>
      </x:c>
      <x:c r="M221"/>
      <x:c r="N221"/>
    </x:row>
    <x:row r="222" spans="1:14">
      <x:c r="A222" s="11" t="s">
        <x:v>231</x:v>
      </x:c>
      <x:c r="B222" s="9" t="s">
        <x:v>143</x:v>
      </x:c>
      <x:c r="C222" s="1">
        <x:v>4</x:v>
      </x:c>
      <x:c r="D222" s="9" t="s">
        <x:v>249</x:v>
      </x:c>
      <x:c r="E222" s="1" t="s">
        <x:v>135</x:v>
      </x:c>
      <x:c r="F222" s="7">
        <x:f>'2026.9.9'!J221</x:f>
        <x:v>1000</x:v>
      </x:c>
      <x:c r="G222" s="1">
        <x:f>SUM(H18:H21)*C222</x:f>
        <x:v>0</x:v>
      </x:c>
      <x:c r="J222" s="12">
        <x:f>F222+I222-G222-H222</x:f>
        <x:v>1000</x:v>
      </x:c>
      <x:c r="K222" s="13">
        <x:f>J222/C222</x:f>
        <x:v>250</x:v>
      </x:c>
      <x:c r="L222" s="25" t="str">
        <x:f>IF(K222&lt;=10,119,"")</x:f>
        <x:v/>
      </x:c>
      <x:c r="M222"/>
      <x:c r="N222"/>
    </x:row>
    <x:row r="223" spans="1:14">
      <x:c r="A223" s="11" t="s">
        <x:v>231</x:v>
      </x:c>
      <x:c r="B223" s="9" t="s">
        <x:v>143</x:v>
      </x:c>
      <x:c r="C223" s="1">
        <x:v>24</x:v>
      </x:c>
      <x:c r="D223" s="9" t="s">
        <x:v>245</x:v>
      </x:c>
      <x:c r="E223" s="1" t="s">
        <x:v>158</x:v>
      </x:c>
      <x:c r="F223" s="7">
        <x:f>'2026.9.9'!J222</x:f>
        <x:v>2200</x:v>
      </x:c>
      <x:c r="G223" s="1">
        <x:f>SUM(H7:H16)*24+SUM(H18:H21)*16+SUM(H22)*4</x:f>
        <x:v>0</x:v>
      </x:c>
      <x:c r="J223" s="12">
        <x:f>F223+I223-G223-H223</x:f>
        <x:v>2200</x:v>
      </x:c>
      <x:c r="K223" s="13">
        <x:f>J223/C223</x:f>
        <x:v>91.666666666666671</x:v>
      </x:c>
      <x:c r="L223" s="25" t="str">
        <x:f>IF(K223&lt;=10,119,"")</x:f>
        <x:v/>
      </x:c>
      <x:c r="M223"/>
      <x:c r="N223"/>
    </x:row>
    <x:row r="224" spans="1:14">
      <x:c r="A224" s="11" t="s">
        <x:v>231</x:v>
      </x:c>
      <x:c r="B224" s="9" t="s">
        <x:v>143</x:v>
      </x:c>
      <x:c r="C224" s="1">
        <x:v>18</x:v>
      </x:c>
      <x:c r="D224" s="9" t="s">
        <x:v>273</x:v>
      </x:c>
      <x:c r="E224" s="1" t="s">
        <x:v>173</x:v>
      </x:c>
      <x:c r="F224" s="7">
        <x:f>'2026.9.9'!J223</x:f>
        <x:v>1900</x:v>
      </x:c>
      <x:c r="G224" s="1">
        <x:f>SUM(H18:H21)*8+SUM(H22)*16</x:f>
        <x:v>0</x:v>
      </x:c>
      <x:c r="J224" s="12">
        <x:f>F224+I224-G224-H224</x:f>
        <x:v>1900</x:v>
      </x:c>
      <x:c r="K224" s="13">
        <x:f>J224/C224</x:f>
        <x:v>105.55555555555556</x:v>
      </x:c>
      <x:c r="L224" s="25" t="str">
        <x:f>IF(K224&lt;=10,119,"")</x:f>
        <x:v/>
      </x:c>
      <x:c r="M224"/>
      <x:c r="N224"/>
    </x:row>
    <x:row r="225" spans="1:14" customFormat="1">
      <x:c r="A225" s="11" t="s">
        <x:v>231</x:v>
      </x:c>
      <x:c r="B225" s="9">
        <x:v>10.9</x:v>
      </x:c>
      <x:c r="C225" s="1">
        <x:v>4</x:v>
      </x:c>
      <x:c r="D225" s="14" t="s">
        <x:v>276</x:v>
      </x:c>
      <x:c r="E225" s="1" t="s">
        <x:v>173</x:v>
      </x:c>
      <x:c r="F225" s="7">
        <x:f>'2026.9.9'!J224</x:f>
        <x:v>2</x:v>
      </x:c>
      <x:c r="G225" s="1">
        <x:f>SUM(H23:H24)*C225</x:f>
        <x:v>0</x:v>
      </x:c>
      <x:c r="H225" s="1"/>
      <x:c r="I225" s="1"/>
      <x:c r="J225" s="12">
        <x:f>F225+I225-G225-H225</x:f>
        <x:v>2</x:v>
      </x:c>
      <x:c r="K225" s="13">
        <x:f>J225/C225</x:f>
        <x:v>0.5</x:v>
      </x:c>
      <x:c r="L225" s="25">
        <x:f>IF(K225&lt;=10,119,"")</x:f>
        <x:v>119</x:v>
      </x:c>
      <x:c r="M225" s="1"/>
      <x:c r="N225" s="1"/>
    </x:row>
    <x:row r="226" spans="1:14" customFormat="1">
      <x:c r="A226" s="11" t="s">
        <x:v>231</x:v>
      </x:c>
      <x:c r="B226" s="9" t="s">
        <x:v>143</x:v>
      </x:c>
      <x:c r="C226" s="1">
        <x:v>36</x:v>
      </x:c>
      <x:c r="D226" s="14" t="s">
        <x:v>11</x:v>
      </x:c>
      <x:c r="E226" s="1" t="s">
        <x:v>174</x:v>
      </x:c>
      <x:c r="F226" s="7">
        <x:f>'2026.9.9'!J225</x:f>
        <x:v>110</x:v>
      </x:c>
      <x:c r="G226" s="1">
        <x:f>SUM(H25:H26)*C226</x:f>
        <x:v>0</x:v>
      </x:c>
      <x:c r="H226" s="1"/>
      <x:c r="I226" s="1"/>
      <x:c r="J226" s="12">
        <x:f>F226+I226-G226-H226</x:f>
        <x:v>110</x:v>
      </x:c>
      <x:c r="K226" s="13">
        <x:f>J226/C226</x:f>
        <x:v>3.0555555555555554</x:v>
      </x:c>
      <x:c r="L226" s="25">
        <x:f>IF(K226&lt;=10,119,"")</x:f>
        <x:v>119</x:v>
      </x:c>
      <x:c r="M226" s="1"/>
      <x:c r="N226" s="1"/>
    </x:row>
    <x:row r="227" spans="1:14">
      <x:c r="A227" s="11" t="s">
        <x:v>231</x:v>
      </x:c>
      <x:c r="B227" s="9" t="s">
        <x:v>143</x:v>
      </x:c>
      <x:c r="C227" s="1">
        <x:v>8</x:v>
      </x:c>
      <x:c r="D227" s="9" t="s">
        <x:v>70</x:v>
      </x:c>
      <x:c r="E227" s="1" t="s">
        <x:v>184</x:v>
      </x:c>
      <x:c r="F227" s="7">
        <x:f>'2026.9.9'!J226</x:f>
        <x:v>930</x:v>
      </x:c>
      <x:c r="G227" s="1">
        <x:f>H22*C227</x:f>
        <x:v>0</x:v>
      </x:c>
      <x:c r="J227" s="12">
        <x:f>F227+I227-G227-H227</x:f>
        <x:v>930</x:v>
      </x:c>
      <x:c r="K227" s="13">
        <x:f>J227/C227</x:f>
        <x:v>116.25</x:v>
      </x:c>
      <x:c r="L227" s="25" t="str">
        <x:f>IF(K227&lt;=10,119,"")</x:f>
        <x:v/>
      </x:c>
      <x:c r="M227"/>
      <x:c r="N227"/>
    </x:row>
    <x:row r="228" spans="1:13">
      <x:c r="A228" s="11" t="s">
        <x:v>14</x:v>
      </x:c>
      <x:c r="B228" s="9" t="s">
        <x:v>137</x:v>
      </x:c>
      <x:c r="C228" s="1">
        <x:v>14</x:v>
      </x:c>
      <x:c r="D228" s="9" t="s">
        <x:v>17</x:v>
      </x:c>
      <x:c r="E228" s="1" t="s">
        <x:v>166</x:v>
      </x:c>
      <x:c r="F228" s="7">
        <x:f>'2026.9.9'!J227</x:f>
        <x:v>100</x:v>
      </x:c>
      <x:c r="G228" s="1">
        <x:f>SUM(J7)*12+SUM(J8)*16+SUM(J9)*16+SUM(J10)*8</x:f>
        <x:v>96</x:v>
      </x:c>
      <x:c r="I228" s="1">
        <x:v>300</x:v>
      </x:c>
      <x:c r="J228" s="12">
        <x:f>F228+I228-G228-H228</x:f>
        <x:v>304</x:v>
      </x:c>
      <x:c r="K228" s="13">
        <x:f>J228/C228</x:f>
        <x:v>21.714285714285715</x:v>
      </x:c>
      <x:c r="L228" s="25" t="str">
        <x:f>IF(K228&lt;=10,119,"")</x:f>
        <x:v/>
      </x:c>
      <x:c r="M228"/>
    </x:row>
    <x:row r="229" spans="1:14">
      <x:c r="A229" s="11" t="s">
        <x:v>14</x:v>
      </x:c>
      <x:c r="B229" s="9" t="s">
        <x:v>137</x:v>
      </x:c>
      <x:c r="C229" s="1">
        <x:v>4</x:v>
      </x:c>
      <x:c r="D229" s="9" t="s">
        <x:v>83</x:v>
      </x:c>
      <x:c r="E229" s="1" t="s">
        <x:v>170</x:v>
      </x:c>
      <x:c r="F229" s="7">
        <x:f>'2026.9.9'!J228</x:f>
        <x:v>92</x:v>
      </x:c>
      <x:c r="G229" s="1">
        <x:f>J7*C229</x:f>
        <x:v>0</x:v>
      </x:c>
      <x:c r="J229" s="12">
        <x:f>F229+I229-G229-H229</x:f>
        <x:v>92</x:v>
      </x:c>
      <x:c r="K229" s="13">
        <x:f>J229/C229</x:f>
        <x:v>23</x:v>
      </x:c>
      <x:c r="L229" s="25" t="str">
        <x:f>IF(K229&lt;=10,119,"")</x:f>
        <x:v/>
      </x:c>
      <x:c r="M229"/>
      <x:c r="N229"/>
    </x:row>
    <x:row r="230" spans="1:13">
      <x:c r="A230" s="11" t="s">
        <x:v>14</x:v>
      </x:c>
      <x:c r="B230" s="9" t="s">
        <x:v>137</x:v>
      </x:c>
      <x:c r="C230" s="1">
        <x:v>8</x:v>
      </x:c>
      <x:c r="D230" s="9" t="s">
        <x:v>73</x:v>
      </x:c>
      <x:c r="E230" s="1" t="s">
        <x:v>153</x:v>
      </x:c>
      <x:c r="F230" s="7">
        <x:f>'2026.9.9'!J229</x:f>
        <x:v>23</x:v>
      </x:c>
      <x:c r="G230" s="1">
        <x:f>J10*C230</x:f>
        <x:v>0</x:v>
      </x:c>
      <x:c r="I230" s="1">
        <x:v>200</x:v>
      </x:c>
      <x:c r="J230" s="12">
        <x:f>F230+I230-G230-H230</x:f>
        <x:v>223</x:v>
      </x:c>
      <x:c r="K230" s="13">
        <x:f>J230/C230</x:f>
        <x:v>27.875</x:v>
      </x:c>
      <x:c r="L230" s="25" t="str">
        <x:f>IF(K230&lt;=10,119,"")</x:f>
        <x:v/>
      </x:c>
      <x:c r="M230"/>
    </x:row>
    <x:row r="231" spans="1:14">
      <x:c r="A231" s="11" t="s">
        <x:v>14</x:v>
      </x:c>
      <x:c r="B231" s="9" t="s">
        <x:v>181</x:v>
      </x:c>
      <x:c r="C231" s="1">
        <x:v>8</x:v>
      </x:c>
      <x:c r="D231" s="14" t="s">
        <x:v>276</x:v>
      </x:c>
      <x:c r="E231" s="1" t="s">
        <x:v>170</x:v>
      </x:c>
      <x:c r="F231" s="7">
        <x:f>'2026.9.9'!J230</x:f>
        <x:v>4</x:v>
      </x:c>
      <x:c r="G231" s="1">
        <x:f>SUM(H23:H24)*C231</x:f>
        <x:v>0</x:v>
      </x:c>
      <x:c r="J231" s="12">
        <x:f>F231+I231-G231-H231</x:f>
        <x:v>4</x:v>
      </x:c>
      <x:c r="K231" s="13">
        <x:f>J231/C231</x:f>
        <x:v>0.5</x:v>
      </x:c>
      <x:c r="L231" s="25">
        <x:f>IF(K231&lt;=10,119,"")</x:f>
        <x:v>119</x:v>
      </x:c>
      <x:c r="N231"/>
    </x:row>
  </x:sheetData>
  <x:autoFilter ref="A29:L231"/>
  <x:mergeCells count="3">
    <x:mergeCell ref="A12:E18"/>
    <x:mergeCell ref="A19:E19"/>
    <x:mergeCell ref="G3:N3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 filterMode="1"/>
  <x:dimension ref="A2:R282"/>
  <x:sheetViews>
    <x:sheetView topLeftCell="A23" zoomScaleNormal="100" workbookViewId="0">
      <x:selection activeCell="J281" activeCellId="0" sqref="J281:J281"/>
    </x:sheetView>
  </x:sheetViews>
  <x:sheetFormatPr defaultColWidth="9.00390625" defaultRowHeight="17.800000000000001"/>
  <x:cols>
    <x:col min="1" max="1" width="19" style="10" customWidth="1"/>
    <x:col min="2" max="2" width="14.125" style="1" customWidth="1"/>
    <x:col min="3" max="3" width="8.25" style="1" customWidth="1"/>
    <x:col min="4" max="4" width="26.1953125" style="2" bestFit="1" customWidth="1"/>
    <x:col min="5" max="5" width="18.5" style="1" customWidth="1"/>
    <x:col min="6" max="6" width="10.125" style="1" customWidth="1"/>
    <x:col min="7" max="7" width="16" style="1" customWidth="1"/>
    <x:col min="8" max="8" width="15.87890625" style="1" bestFit="1" customWidth="1"/>
    <x:col min="9" max="9" width="13.25" style="1" customWidth="1"/>
    <x:col min="10" max="10" width="12.52734375" style="29" bestFit="1" customWidth="1"/>
    <x:col min="11" max="11" width="14.375" style="18" customWidth="1"/>
    <x:col min="12" max="12" width="14.109375" style="1" bestFit="1" customWidth="1"/>
    <x:col min="13" max="13" width="10.625" style="1" customWidth="1"/>
    <x:col min="14" max="14" width="10.25" style="6" customWidth="1"/>
    <x:col min="15" max="15" width="13.6640625" bestFit="1" customWidth="1"/>
    <x:col min="16" max="16" width="9" customWidth="1"/>
    <x:col min="17" max="17" width="9.8671875" bestFit="1" customWidth="1"/>
    <x:col min="18" max="18" width="12" customWidth="1"/>
  </x:cols>
  <x:sheetData>
    <x:row r="2" spans="1:18" s="27" customFormat="1" ht="31.5" customHeight="1">
      <x:c r="A2" s="28"/>
      <x:c r="B2" s="28"/>
      <x:c r="C2" s="28"/>
      <x:c r="D2" s="28"/>
      <x:c r="E2"/>
      <x:c r="F2" s="40"/>
      <x:c r="G2" s="71" t="s">
        <x:v>1</x:v>
      </x:c>
      <x:c r="H2" s="69"/>
      <x:c r="I2" s="69"/>
      <x:c r="J2" s="69"/>
      <x:c r="K2" s="69"/>
      <x:c r="L2" s="69"/>
      <x:c r="M2" s="69"/>
      <x:c r="N2" s="72"/>
      <x:c r="O2" s="68" t="s">
        <x:v>0</x:v>
      </x:c>
      <x:c r="P2" s="69"/>
      <x:c r="Q2" s="69"/>
      <x:c r="R2" s="70"/>
    </x:row>
    <x:row r="3" spans="1:18" customFormat="1" ht="17.25" customHeight="1">
      <x:c r="A3" s="10"/>
      <x:c r="B3" s="1"/>
      <x:c r="C3" s="1"/>
      <x:c r="D3" s="2"/>
      <x:c r="E3" s="1"/>
      <x:c r="F3" s="1"/>
      <x:c r="G3" s="51" t="s">
        <x:v>130</x:v>
      </x:c>
      <x:c r="H3" s="41" t="s">
        <x:v>142</x:v>
      </x:c>
      <x:c r="I3" s="41" t="s">
        <x:v>157</x:v>
      </x:c>
      <x:c r="J3" s="42" t="s">
        <x:v>142</x:v>
      </x:c>
      <x:c r="K3" s="41" t="s">
        <x:v>130</x:v>
      </x:c>
      <x:c r="L3" s="43" t="s">
        <x:v>283</x:v>
      </x:c>
      <x:c r="M3" s="41" t="s">
        <x:v>157</x:v>
      </x:c>
      <x:c r="N3" s="43" t="s">
        <x:v>283</x:v>
      </x:c>
      <x:c r="O3" s="41" t="s">
        <x:v>130</x:v>
      </x:c>
      <x:c r="P3" s="41" t="s">
        <x:v>220</x:v>
      </x:c>
      <x:c r="Q3" s="41" t="s">
        <x:v>157</x:v>
      </x:c>
      <x:c r="R3" s="52" t="s">
        <x:v>220</x:v>
      </x:c>
    </x:row>
    <x:row r="4" spans="1:18" customFormat="1" ht="17.25" customHeight="1">
      <x:c r="A4" s="10"/>
      <x:c r="B4" s="1"/>
      <x:c r="C4" s="1"/>
      <x:c r="D4" s="2"/>
      <x:c r="E4" s="1"/>
      <x:c r="F4" s="1"/>
      <x:c r="G4" s="53" t="s">
        <x:v>23</x:v>
      </x:c>
      <x:c r="H4" s="44"/>
      <x:c r="I4" s="44"/>
      <x:c r="J4" s="44"/>
      <x:c r="K4" s="44" t="s">
        <x:v>23</x:v>
      </x:c>
      <x:c r="L4" s="45">
        <x:f>H4+'2026.9.10'!L5</x:f>
        <x:v>0</x:v>
      </x:c>
      <x:c r="M4" s="44"/>
      <x:c r="N4" s="45"/>
      <x:c r="O4" s="44" t="s">
        <x:v>23</x:v>
      </x:c>
      <x:c r="P4" s="46"/>
      <x:c r="Q4" s="44"/>
      <x:c r="R4" s="54"/>
    </x:row>
    <x:row r="5" spans="1:18" customFormat="1" ht="17.25" customHeight="1">
      <x:c r="A5" s="10"/>
      <x:c r="B5" s="1"/>
      <x:c r="C5" s="1"/>
      <x:c r="D5" s="2"/>
      <x:c r="E5" s="1"/>
      <x:c r="F5" s="1"/>
      <x:c r="G5" s="53" t="s">
        <x:v>94</x:v>
      </x:c>
      <x:c r="H5" s="44"/>
      <x:c r="I5" s="44"/>
      <x:c r="J5" s="44"/>
      <x:c r="K5" s="44" t="s">
        <x:v>94</x:v>
      </x:c>
      <x:c r="L5" s="45">
        <x:f>H5+'2026.9.10'!L6</x:f>
        <x:v>0</x:v>
      </x:c>
      <x:c r="M5" s="44"/>
      <x:c r="N5" s="45"/>
      <x:c r="O5" s="44" t="s">
        <x:v>94</x:v>
      </x:c>
      <x:c r="P5" s="46">
        <x:v>6</x:v>
      </x:c>
      <x:c r="Q5" s="44"/>
      <x:c r="R5" s="54"/>
    </x:row>
    <x:row r="6" spans="1:18" customFormat="1" ht="17.25" customHeight="1">
      <x:c r="A6" s="10"/>
      <x:c r="B6" s="1"/>
      <x:c r="C6" s="1"/>
      <x:c r="D6" s="2"/>
      <x:c r="E6" s="1"/>
      <x:c r="F6" s="1"/>
      <x:c r="G6" s="53" t="s">
        <x:v>27</x:v>
      </x:c>
      <x:c r="H6" s="44"/>
      <x:c r="I6" s="44" t="s">
        <x:v>83</x:v>
      </x:c>
      <x:c r="J6" s="44"/>
      <x:c r="K6" s="44" t="s">
        <x:v>27</x:v>
      </x:c>
      <x:c r="L6" s="45">
        <x:f>H6+'2026.9.10'!L7</x:f>
        <x:v>0</x:v>
      </x:c>
      <x:c r="M6" s="44" t="s">
        <x:v>83</x:v>
      </x:c>
      <x:c r="N6" s="45">
        <x:f>'2026.9.10'!N7+J6</x:f>
        <x:v>0</x:v>
      </x:c>
      <x:c r="O6" s="44" t="s">
        <x:v>27</x:v>
      </x:c>
      <x:c r="P6" s="46"/>
      <x:c r="Q6" s="44" t="s">
        <x:v>83</x:v>
      </x:c>
      <x:c r="R6" s="54">
        <x:v>13</x:v>
      </x:c>
    </x:row>
    <x:row r="7" spans="1:18" customFormat="1" ht="17.25" customHeight="1">
      <x:c r="A7" s="10"/>
      <x:c r="B7" s="1"/>
      <x:c r="C7" s="1"/>
      <x:c r="D7" s="2"/>
      <x:c r="E7" s="1"/>
      <x:c r="F7" s="1"/>
      <x:c r="G7" s="53" t="s">
        <x:v>36</x:v>
      </x:c>
      <x:c r="H7" s="44"/>
      <x:c r="I7" s="44" t="s">
        <x:v>41</x:v>
      </x:c>
      <x:c r="J7" s="44"/>
      <x:c r="K7" s="44" t="s">
        <x:v>36</x:v>
      </x:c>
      <x:c r="L7" s="45">
        <x:f>H7+'2026.9.10'!L8</x:f>
        <x:v>0</x:v>
      </x:c>
      <x:c r="M7" s="44" t="s">
        <x:v>41</x:v>
      </x:c>
      <x:c r="N7" s="45">
        <x:f>'2026.9.10'!N8+J7</x:f>
        <x:v>0</x:v>
      </x:c>
      <x:c r="O7" s="44" t="s">
        <x:v>36</x:v>
      </x:c>
      <x:c r="P7" s="46"/>
      <x:c r="Q7" s="44" t="s">
        <x:v>41</x:v>
      </x:c>
      <x:c r="R7" s="54"/>
    </x:row>
    <x:row r="8" spans="1:18" customFormat="1" ht="17.25" customHeight="1">
      <x:c r="A8" s="10"/>
      <x:c r="B8" s="1"/>
      <x:c r="C8" s="1"/>
      <x:c r="D8" s="2"/>
      <x:c r="E8" s="1"/>
      <x:c r="F8" s="1"/>
      <x:c r="G8" s="53" t="s">
        <x:v>55</x:v>
      </x:c>
      <x:c r="H8" s="44"/>
      <x:c r="I8" s="44" t="s">
        <x:v>47</x:v>
      </x:c>
      <x:c r="J8" s="44"/>
      <x:c r="K8" s="44" t="s">
        <x:v>55</x:v>
      </x:c>
      <x:c r="L8" s="45">
        <x:f>H8+'2026.9.10'!L9</x:f>
        <x:v>0</x:v>
      </x:c>
      <x:c r="M8" s="44" t="s">
        <x:v>47</x:v>
      </x:c>
      <x:c r="N8" s="45">
        <x:f>'2026.9.10'!N9+J8</x:f>
        <x:v>8</x:v>
      </x:c>
      <x:c r="O8" s="44" t="s">
        <x:v>55</x:v>
      </x:c>
      <x:c r="P8" s="46">
        <x:v>12</x:v>
      </x:c>
      <x:c r="Q8" s="44" t="s">
        <x:v>47</x:v>
      </x:c>
      <x:c r="R8" s="54">
        <x:v>10</x:v>
      </x:c>
    </x:row>
    <x:row r="9" spans="1:18" customFormat="1" ht="17.25" customHeight="1">
      <x:c r="A9" s="10"/>
      <x:c r="B9" s="1"/>
      <x:c r="C9" s="1"/>
      <x:c r="D9" s="2"/>
      <x:c r="E9" s="1"/>
      <x:c r="F9" s="1"/>
      <x:c r="G9" s="53" t="s">
        <x:v>44</x:v>
      </x:c>
      <x:c r="H9" s="44"/>
      <x:c r="I9" s="44" t="s">
        <x:v>73</x:v>
      </x:c>
      <x:c r="J9" s="44">
        <x:v>2</x:v>
      </x:c>
      <x:c r="K9" s="44" t="s">
        <x:v>44</x:v>
      </x:c>
      <x:c r="L9" s="45">
        <x:f>H9+'2026.9.10'!L10</x:f>
        <x:v>0</x:v>
      </x:c>
      <x:c r="M9" s="44" t="s">
        <x:v>73</x:v>
      </x:c>
      <x:c r="N9" s="45">
        <x:f>'2026.9.10'!N10+J9</x:f>
        <x:v>6</x:v>
      </x:c>
      <x:c r="O9" s="44" t="s">
        <x:v>44</x:v>
      </x:c>
      <x:c r="P9" s="46">
        <x:v>6</x:v>
      </x:c>
      <x:c r="Q9" s="44" t="s">
        <x:v>73</x:v>
      </x:c>
      <x:c r="R9" s="54">
        <x:v>10</x:v>
      </x:c>
    </x:row>
    <x:row r="10" spans="1:18" customFormat="1" ht="17.25" customHeight="1">
      <x:c r="A10" s="10"/>
      <x:c r="B10" s="1"/>
      <x:c r="C10" s="1"/>
      <x:c r="D10" s="2"/>
      <x:c r="E10" s="1"/>
      <x:c r="F10" s="1"/>
      <x:c r="G10" s="53" t="s">
        <x:v>255</x:v>
      </x:c>
      <x:c r="H10" s="44"/>
      <x:c r="I10" s="44"/>
      <x:c r="J10" s="44"/>
      <x:c r="K10" s="44" t="s">
        <x:v>255</x:v>
      </x:c>
      <x:c r="L10" s="45">
        <x:f>H10+'2026.9.10'!L11</x:f>
        <x:v>0</x:v>
      </x:c>
      <x:c r="M10" s="44"/>
      <x:c r="N10" s="45"/>
      <x:c r="O10" s="44" t="s">
        <x:v>255</x:v>
      </x:c>
      <x:c r="P10" s="46">
        <x:v>8</x:v>
      </x:c>
      <x:c r="Q10" s="44"/>
      <x:c r="R10" s="54"/>
    </x:row>
    <x:row r="11" spans="1:18" customFormat="1" ht="17.25" customHeight="1">
      <x:c r="A11" s="66" t="s">
        <x:v>12</x:v>
      </x:c>
      <x:c r="B11" s="66"/>
      <x:c r="C11" s="66"/>
      <x:c r="D11" s="66"/>
      <x:c r="E11" s="66"/>
      <x:c r="F11" s="1"/>
      <x:c r="G11" s="53" t="s">
        <x:v>76</x:v>
      </x:c>
      <x:c r="H11" s="44"/>
      <x:c r="I11" s="44"/>
      <x:c r="J11" s="44"/>
      <x:c r="K11" s="44" t="s">
        <x:v>76</x:v>
      </x:c>
      <x:c r="L11" s="45">
        <x:f>H11+'2026.9.10'!L12</x:f>
        <x:v>0</x:v>
      </x:c>
      <x:c r="M11" s="44"/>
      <x:c r="N11" s="45"/>
      <x:c r="O11" s="44" t="s">
        <x:v>76</x:v>
      </x:c>
      <x:c r="P11" s="46"/>
      <x:c r="Q11" s="44"/>
      <x:c r="R11" s="54"/>
    </x:row>
    <x:row r="12" spans="1:18" customFormat="1" ht="17.25" customHeight="1">
      <x:c r="A12" s="66"/>
      <x:c r="B12" s="66"/>
      <x:c r="C12" s="66"/>
      <x:c r="D12" s="66"/>
      <x:c r="E12" s="66"/>
      <x:c r="F12" s="1"/>
      <x:c r="G12" s="53" t="s">
        <x:v>33</x:v>
      </x:c>
      <x:c r="H12" s="44"/>
      <x:c r="I12" s="44"/>
      <x:c r="J12" s="44"/>
      <x:c r="K12" s="44" t="s">
        <x:v>33</x:v>
      </x:c>
      <x:c r="L12" s="45">
        <x:f>H12+'2026.9.10'!L13</x:f>
        <x:v>0</x:v>
      </x:c>
      <x:c r="M12" s="44"/>
      <x:c r="N12" s="45"/>
      <x:c r="O12" s="44" t="s">
        <x:v>33</x:v>
      </x:c>
      <x:c r="P12" s="46"/>
      <x:c r="Q12" s="44"/>
      <x:c r="R12" s="54"/>
    </x:row>
    <x:row r="13" spans="1:18" customFormat="1" ht="17.25" customHeight="1">
      <x:c r="A13" s="66"/>
      <x:c r="B13" s="66"/>
      <x:c r="C13" s="66"/>
      <x:c r="D13" s="66"/>
      <x:c r="E13" s="66"/>
      <x:c r="F13" s="1"/>
      <x:c r="G13" s="53" t="s">
        <x:v>261</x:v>
      </x:c>
      <x:c r="H13" s="44"/>
      <x:c r="I13" s="44"/>
      <x:c r="J13" s="44"/>
      <x:c r="K13" s="44" t="s">
        <x:v>261</x:v>
      </x:c>
      <x:c r="L13" s="45">
        <x:f>H13+'2026.9.10'!L14</x:f>
        <x:v>0</x:v>
      </x:c>
      <x:c r="M13" s="44"/>
      <x:c r="N13" s="45"/>
      <x:c r="O13" s="44" t="s">
        <x:v>261</x:v>
      </x:c>
      <x:c r="P13" s="46"/>
      <x:c r="Q13" s="44"/>
      <x:c r="R13" s="54"/>
    </x:row>
    <x:row r="14" spans="1:18" customFormat="1" ht="17.25" customHeight="1">
      <x:c r="A14" s="66"/>
      <x:c r="B14" s="66"/>
      <x:c r="C14" s="66"/>
      <x:c r="D14" s="66"/>
      <x:c r="E14" s="66"/>
      <x:c r="F14" s="1"/>
      <x:c r="G14" s="53" t="s">
        <x:v>43</x:v>
      </x:c>
      <x:c r="H14" s="44"/>
      <x:c r="I14" s="44"/>
      <x:c r="J14" s="44"/>
      <x:c r="K14" s="44" t="s">
        <x:v>43</x:v>
      </x:c>
      <x:c r="L14" s="45">
        <x:f>H14+'2026.9.10'!L15</x:f>
        <x:v>0</x:v>
      </x:c>
      <x:c r="M14" s="44"/>
      <x:c r="N14" s="45"/>
      <x:c r="O14" s="44" t="s">
        <x:v>43</x:v>
      </x:c>
      <x:c r="P14" s="46">
        <x:v>28</x:v>
      </x:c>
      <x:c r="Q14" s="44"/>
      <x:c r="R14" s="54"/>
    </x:row>
    <x:row r="15" spans="1:18" ht="17.25" customHeight="1">
      <x:c r="A15" s="66"/>
      <x:c r="B15" s="66"/>
      <x:c r="C15" s="66"/>
      <x:c r="D15" s="66"/>
      <x:c r="E15" s="66"/>
      <x:c r="G15" s="53" t="s">
        <x:v>21</x:v>
      </x:c>
      <x:c r="H15" s="44"/>
      <x:c r="I15" s="44"/>
      <x:c r="J15" s="44"/>
      <x:c r="K15" s="44" t="s">
        <x:v>21</x:v>
      </x:c>
      <x:c r="L15" s="45">
        <x:f>H15+'2026.9.10'!L16</x:f>
        <x:v>0</x:v>
      </x:c>
      <x:c r="M15" s="44"/>
      <x:c r="N15" s="45"/>
      <x:c r="O15" s="44" t="s">
        <x:v>21</x:v>
      </x:c>
      <x:c r="P15" s="46"/>
      <x:c r="Q15" s="44"/>
      <x:c r="R15" s="54"/>
    </x:row>
    <x:row r="16" spans="1:18" customFormat="1" ht="17.25" customHeight="1">
      <x:c r="A16" s="66"/>
      <x:c r="B16" s="66"/>
      <x:c r="C16" s="66"/>
      <x:c r="D16" s="66"/>
      <x:c r="E16" s="66"/>
      <x:c r="F16" s="1"/>
      <x:c r="G16" s="53" t="s">
        <x:v>265</x:v>
      </x:c>
      <x:c r="H16" s="44"/>
      <x:c r="I16" s="44"/>
      <x:c r="J16" s="44"/>
      <x:c r="K16" s="44" t="s">
        <x:v>84</x:v>
      </x:c>
      <x:c r="L16" s="45">
        <x:f>H16+'2026.9.10'!L17</x:f>
        <x:v>0</x:v>
      </x:c>
      <x:c r="M16" s="44"/>
      <x:c r="N16" s="45"/>
      <x:c r="O16" s="44" t="s">
        <x:v>265</x:v>
      </x:c>
      <x:c r="P16" s="46">
        <x:v>4</x:v>
      </x:c>
      <x:c r="Q16" s="44"/>
      <x:c r="R16" s="54"/>
    </x:row>
    <x:row r="17" spans="1:18" ht="17.25" customHeight="1">
      <x:c r="A17" s="66"/>
      <x:c r="B17" s="66"/>
      <x:c r="C17" s="66"/>
      <x:c r="D17" s="66"/>
      <x:c r="E17" s="66"/>
      <x:c r="G17" s="53" t="s">
        <x:v>80</x:v>
      </x:c>
      <x:c r="H17" s="44"/>
      <x:c r="I17" s="44"/>
      <x:c r="J17" s="44"/>
      <x:c r="K17" s="44" t="s">
        <x:v>80</x:v>
      </x:c>
      <x:c r="L17" s="45">
        <x:f>H17+'2026.9.10'!L18</x:f>
        <x:v>0</x:v>
      </x:c>
      <x:c r="M17" s="44"/>
      <x:c r="N17" s="45"/>
      <x:c r="O17" s="44" t="s">
        <x:v>80</x:v>
      </x:c>
      <x:c r="P17" s="46">
        <x:v>7</x:v>
      </x:c>
      <x:c r="Q17" s="44"/>
      <x:c r="R17" s="54"/>
    </x:row>
    <x:row r="18" spans="1:18" customFormat="1" ht="17.25" customHeight="1">
      <x:c r="A18" s="67"/>
      <x:c r="B18" s="67"/>
      <x:c r="C18" s="67"/>
      <x:c r="D18" s="67"/>
      <x:c r="E18" s="67"/>
      <x:c r="F18" s="1"/>
      <x:c r="G18" s="53" t="s">
        <x:v>101</x:v>
      </x:c>
      <x:c r="H18" s="44"/>
      <x:c r="I18" s="44"/>
      <x:c r="J18" s="44"/>
      <x:c r="K18" s="44" t="s">
        <x:v>101</x:v>
      </x:c>
      <x:c r="L18" s="45">
        <x:f>H18+'2026.9.10'!L19</x:f>
        <x:v>0</x:v>
      </x:c>
      <x:c r="M18" s="44"/>
      <x:c r="N18" s="45"/>
      <x:c r="O18" s="44" t="s">
        <x:v>101</x:v>
      </x:c>
      <x:c r="P18" s="46">
        <x:v>4</x:v>
      </x:c>
      <x:c r="Q18" s="44"/>
      <x:c r="R18" s="54"/>
    </x:row>
    <x:row r="19" spans="7:18" ht="17.25" customHeight="1">
      <x:c r="G19" s="53" t="s">
        <x:v>31</x:v>
      </x:c>
      <x:c r="H19" s="44"/>
      <x:c r="I19" s="44"/>
      <x:c r="J19" s="44"/>
      <x:c r="K19" s="44" t="s">
        <x:v>31</x:v>
      </x:c>
      <x:c r="L19" s="45">
        <x:f>H19+'2026.9.10'!L20</x:f>
        <x:v>0</x:v>
      </x:c>
      <x:c r="M19" s="44"/>
      <x:c r="N19" s="45"/>
      <x:c r="O19" s="44" t="s">
        <x:v>31</x:v>
      </x:c>
      <x:c r="P19" s="46">
        <x:v>5</x:v>
      </x:c>
      <x:c r="Q19" s="44"/>
      <x:c r="R19" s="54"/>
    </x:row>
    <x:row r="20" spans="7:18" ht="17.25" customHeight="1">
      <x:c r="G20" s="53" t="s">
        <x:v>75</x:v>
      </x:c>
      <x:c r="H20" s="44"/>
      <x:c r="I20" s="44"/>
      <x:c r="J20" s="44"/>
      <x:c r="K20" s="44" t="s">
        <x:v>75</x:v>
      </x:c>
      <x:c r="L20" s="45">
        <x:f>H20+'2026.9.10'!L21</x:f>
        <x:v>0</x:v>
      </x:c>
      <x:c r="M20" s="44"/>
      <x:c r="N20" s="45"/>
      <x:c r="O20" s="44" t="s">
        <x:v>75</x:v>
      </x:c>
      <x:c r="P20" s="46">
        <x:v>3</x:v>
      </x:c>
      <x:c r="Q20" s="44"/>
      <x:c r="R20" s="54"/>
    </x:row>
    <x:row r="21" spans="7:18" ht="17.25" customHeight="1">
      <x:c r="G21" s="53" t="s">
        <x:v>70</x:v>
      </x:c>
      <x:c r="H21" s="44"/>
      <x:c r="I21" s="44"/>
      <x:c r="J21" s="44"/>
      <x:c r="K21" s="44" t="s">
        <x:v>70</x:v>
      </x:c>
      <x:c r="L21" s="45">
        <x:f>H21+'2026.9.10'!L22</x:f>
        <x:v>0</x:v>
      </x:c>
      <x:c r="M21" s="44"/>
      <x:c r="N21" s="45"/>
      <x:c r="O21" s="44" t="s">
        <x:v>70</x:v>
      </x:c>
      <x:c r="P21" s="46">
        <x:v>17</x:v>
      </x:c>
      <x:c r="Q21" s="44"/>
      <x:c r="R21" s="54"/>
    </x:row>
    <x:row r="22" spans="1:18" customFormat="1" ht="17.25" customHeight="1">
      <x:c r="A22" s="10"/>
      <x:c r="B22" s="1"/>
      <x:c r="C22" s="1"/>
      <x:c r="D22" s="2"/>
      <x:c r="E22" s="1"/>
      <x:c r="F22" s="1"/>
      <x:c r="G22" s="53" t="s">
        <x:v>244</x:v>
      </x:c>
      <x:c r="H22" s="44"/>
      <x:c r="I22" s="44"/>
      <x:c r="J22" s="44"/>
      <x:c r="K22" s="44" t="s">
        <x:v>244</x:v>
      </x:c>
      <x:c r="L22" s="45">
        <x:f>H22+'2026.9.10'!L23</x:f>
        <x:v>0</x:v>
      </x:c>
      <x:c r="M22" s="44"/>
      <x:c r="N22" s="45"/>
      <x:c r="O22" s="44" t="s">
        <x:v>244</x:v>
      </x:c>
      <x:c r="P22" s="47"/>
      <x:c r="Q22" s="44"/>
      <x:c r="R22" s="54"/>
    </x:row>
    <x:row r="23" spans="1:18" customFormat="1" ht="17.25" customHeight="1">
      <x:c r="A23" s="10"/>
      <x:c r="B23" s="1"/>
      <x:c r="C23" s="1"/>
      <x:c r="D23" s="2"/>
      <x:c r="E23" s="1"/>
      <x:c r="F23" s="1"/>
      <x:c r="G23" s="53" t="s">
        <x:v>247</x:v>
      </x:c>
      <x:c r="H23" s="44"/>
      <x:c r="I23" s="44"/>
      <x:c r="J23" s="44"/>
      <x:c r="K23" s="44" t="s">
        <x:v>247</x:v>
      </x:c>
      <x:c r="L23" s="45">
        <x:f>H23+'2026.9.10'!L24</x:f>
        <x:v>0</x:v>
      </x:c>
      <x:c r="M23" s="44"/>
      <x:c r="N23" s="45"/>
      <x:c r="O23" s="44" t="s">
        <x:v>247</x:v>
      </x:c>
      <x:c r="P23" s="47"/>
      <x:c r="Q23" s="44"/>
      <x:c r="R23" s="54"/>
    </x:row>
    <x:row r="24" spans="1:18" customFormat="1" ht="17.25" customHeight="1">
      <x:c r="A24" s="10"/>
      <x:c r="B24" s="1"/>
      <x:c r="C24" s="1"/>
      <x:c r="D24" s="2"/>
      <x:c r="E24" s="1"/>
      <x:c r="F24" s="1"/>
      <x:c r="G24" s="53" t="s">
        <x:v>22</x:v>
      </x:c>
      <x:c r="H24" s="44"/>
      <x:c r="I24" s="44"/>
      <x:c r="J24" s="44"/>
      <x:c r="K24" s="44" t="s">
        <x:v>22</x:v>
      </x:c>
      <x:c r="L24" s="45">
        <x:f>H24+'2026.9.10'!L25</x:f>
        <x:v>1</x:v>
      </x:c>
      <x:c r="M24" s="44"/>
      <x:c r="N24" s="45"/>
      <x:c r="O24" s="44" t="s">
        <x:v>22</x:v>
      </x:c>
      <x:c r="P24" s="47"/>
      <x:c r="Q24" s="44"/>
      <x:c r="R24" s="54"/>
    </x:row>
    <x:row r="25" spans="1:18" customFormat="1" ht="17.25" customHeight="1">
      <x:c r="A25" s="10"/>
      <x:c r="B25" s="1"/>
      <x:c r="C25" s="1"/>
      <x:c r="D25" s="2"/>
      <x:c r="E25" s="1"/>
      <x:c r="F25" s="1"/>
      <x:c r="G25" s="55" t="s">
        <x:v>96</x:v>
      </x:c>
      <x:c r="H25" s="48"/>
      <x:c r="I25" s="48"/>
      <x:c r="J25" s="48"/>
      <x:c r="K25" s="48" t="s">
        <x:v>96</x:v>
      </x:c>
      <x:c r="L25" s="49">
        <x:f>H25+'2026.9.10'!L26</x:f>
        <x:v>0</x:v>
      </x:c>
      <x:c r="M25" s="48"/>
      <x:c r="N25" s="49"/>
      <x:c r="O25" s="48" t="s">
        <x:v>96</x:v>
      </x:c>
      <x:c r="P25" s="50"/>
      <x:c r="Q25" s="48"/>
      <x:c r="R25" s="56"/>
    </x:row>
    <x:row r="26" spans="1:18" customFormat="1">
      <x:c r="A26" s="10"/>
      <x:c r="B26" s="1"/>
      <x:c r="C26" s="1"/>
      <x:c r="D26" s="2"/>
      <x:c r="E26" s="1"/>
      <x:c r="F26" s="1"/>
      <x:c r="G26" s="57"/>
      <x:c r="H26" s="58"/>
      <x:c r="I26" s="58"/>
      <x:c r="J26" s="58"/>
      <x:c r="K26" s="59"/>
      <x:c r="L26" s="60">
        <x:f>SUM(L4:L25)</x:f>
        <x:v>1</x:v>
      </x:c>
      <x:c r="M26" s="59"/>
      <x:c r="N26" s="60">
        <x:f>SUM(N4:N25)</x:f>
        <x:v>14</x:v>
      </x:c>
      <x:c r="O26" s="59"/>
      <x:c r="P26" s="59">
        <x:f>SUM(P4:P25)</x:f>
        <x:v>100</x:v>
      </x:c>
      <x:c r="Q26" s="59"/>
      <x:c r="R26" s="61">
        <x:f>SUM(R4:R25)</x:f>
        <x:v>33</x:v>
      </x:c>
    </x:row>
    <x:row r="27" spans="7:7">
      <x:c r="G27"/>
    </x:row>
    <x:row r="28" spans="1:14" s="8" customFormat="1" ht="29.25" customHeight="1">
      <x:c r="A28" s="11" t="s">
        <x:v>279</x:v>
      </x:c>
      <x:c r="B28" s="9" t="s">
        <x:v>287</x:v>
      </x:c>
      <x:c r="C28" s="9" t="s">
        <x:v>200</x:v>
      </x:c>
      <x:c r="D28" s="9" t="s">
        <x:v>198</x:v>
      </x:c>
      <x:c r="E28" s="9" t="s">
        <x:v>123</x:v>
      </x:c>
      <x:c r="F28" s="9" t="s">
        <x:v>127</x:v>
      </x:c>
      <x:c r="G28" s="9" t="s">
        <x:v>151</x:v>
      </x:c>
      <x:c r="H28" s="9" t="s">
        <x:v>114</x:v>
      </x:c>
      <x:c r="I28" s="9" t="s">
        <x:v>155</x:v>
      </x:c>
      <x:c r="J28" s="14" t="s">
        <x:v>154</x:v>
      </x:c>
      <x:c r="K28" s="23" t="s">
        <x:v>204</x:v>
      </x:c>
      <x:c r="L28" s="9" t="s">
        <x:v>183</x:v>
      </x:c>
      <x:c r="M28" s="9" t="s">
        <x:v>211</x:v>
      </x:c>
      <x:c r="N28" s="14" t="s">
        <x:v>282</x:v>
      </x:c>
    </x:row>
    <x:row r="29" spans="1:14" s="8" customFormat="1" ht="17.25" customHeight="1">
      <x:c r="A29" s="11" t="s">
        <x:v>221</x:v>
      </x:c>
      <x:c r="B29" s="9" t="s">
        <x:v>119</x:v>
      </x:c>
      <x:c r="C29" s="2">
        <x:v>1</x:v>
      </x:c>
      <x:c r="D29" s="14" t="s">
        <x:v>23</x:v>
      </x:c>
      <x:c r="E29" s="9"/>
      <x:c r="F29" s="38"/>
      <x:c r="G29" s="38">
        <x:f>H4*C29</x:f>
        <x:v>0</x:v>
      </x:c>
      <x:c r="H29" s="9"/>
      <x:c r="I29" s="9"/>
      <x:c r="J29" s="36">
        <x:f>F29+I29-G29-H29</x:f>
        <x:v>0</x:v>
      </x:c>
      <x:c r="K29" s="37">
        <x:f>J29/C29</x:f>
        <x:v>0</x:v>
      </x:c>
      <x:c r="L29" s="25" t="str">
        <x:f>IF(J29&lt;M29,119,"")</x:f>
        <x:v/>
      </x:c>
      <x:c r="M29" s="34">
        <x:f>P4*C29</x:f>
        <x:v>0</x:v>
      </x:c>
      <x:c r="N29" s="35">
        <x:f>J29-M29</x:f>
        <x:v>0</x:v>
      </x:c>
    </x:row>
    <x:row r="30" spans="1:14" s="8" customFormat="1" ht="17.25" customHeight="1">
      <x:c r="A30" s="11" t="s">
        <x:v>221</x:v>
      </x:c>
      <x:c r="B30" s="9" t="s">
        <x:v>119</x:v>
      </x:c>
      <x:c r="C30" s="2">
        <x:v>1</x:v>
      </x:c>
      <x:c r="D30" s="14" t="s">
        <x:v>94</x:v>
      </x:c>
      <x:c r="E30" s="9"/>
      <x:c r="F30" s="38"/>
      <x:c r="G30" s="38">
        <x:f>H5*C30</x:f>
        <x:v>0</x:v>
      </x:c>
      <x:c r="H30" s="9"/>
      <x:c r="I30" s="9"/>
      <x:c r="J30" s="36">
        <x:f>F30+I30-G30-H30</x:f>
        <x:v>0</x:v>
      </x:c>
      <x:c r="K30" s="37">
        <x:f>J30/C30</x:f>
        <x:v>0</x:v>
      </x:c>
      <x:c r="L30" s="25">
        <x:f>IF(J30&lt;M30,119,"")</x:f>
        <x:v>119</x:v>
      </x:c>
      <x:c r="M30" s="34">
        <x:f>P5*C30</x:f>
        <x:v>6</x:v>
      </x:c>
      <x:c r="N30" s="35">
        <x:f>J30-M30</x:f>
        <x:v>-6</x:v>
      </x:c>
    </x:row>
    <x:row r="31" spans="1:14" s="8" customFormat="1" ht="17.25" customHeight="1">
      <x:c r="A31" s="11" t="s">
        <x:v>221</x:v>
      </x:c>
      <x:c r="B31" s="9" t="s">
        <x:v>119</x:v>
      </x:c>
      <x:c r="C31" s="2">
        <x:v>1</x:v>
      </x:c>
      <x:c r="D31" s="14" t="s">
        <x:v>27</x:v>
      </x:c>
      <x:c r="E31" s="9"/>
      <x:c r="F31" s="38"/>
      <x:c r="G31" s="38">
        <x:f>H6*C31</x:f>
        <x:v>0</x:v>
      </x:c>
      <x:c r="H31" s="9"/>
      <x:c r="I31" s="9"/>
      <x:c r="J31" s="36">
        <x:f>F31+I31-G31-H31</x:f>
        <x:v>0</x:v>
      </x:c>
      <x:c r="K31" s="37">
        <x:f>J31/C31</x:f>
        <x:v>0</x:v>
      </x:c>
      <x:c r="L31" s="25" t="str">
        <x:f>IF(J31&lt;M31,119,"")</x:f>
        <x:v/>
      </x:c>
      <x:c r="M31" s="34">
        <x:f>P6*C31</x:f>
        <x:v>0</x:v>
      </x:c>
      <x:c r="N31" s="35">
        <x:f>J31-M31</x:f>
        <x:v>0</x:v>
      </x:c>
    </x:row>
    <x:row r="32" spans="1:14" s="8" customFormat="1" ht="17.25" customHeight="1">
      <x:c r="A32" s="11" t="s">
        <x:v>221</x:v>
      </x:c>
      <x:c r="B32" s="9" t="s">
        <x:v>119</x:v>
      </x:c>
      <x:c r="C32" s="2">
        <x:v>1</x:v>
      </x:c>
      <x:c r="D32" s="14" t="s">
        <x:v>36</x:v>
      </x:c>
      <x:c r="E32" s="9"/>
      <x:c r="F32" s="38"/>
      <x:c r="G32" s="38">
        <x:f>H7*C32</x:f>
        <x:v>0</x:v>
      </x:c>
      <x:c r="H32" s="9"/>
      <x:c r="I32" s="9"/>
      <x:c r="J32" s="36">
        <x:f>F32+I32-G32-H32</x:f>
        <x:v>0</x:v>
      </x:c>
      <x:c r="K32" s="37">
        <x:f>J32/C32</x:f>
        <x:v>0</x:v>
      </x:c>
      <x:c r="L32" s="25" t="str">
        <x:f>IF(J32&lt;M32,119,"")</x:f>
        <x:v/>
      </x:c>
      <x:c r="M32" s="34">
        <x:f>P7*C32</x:f>
        <x:v>0</x:v>
      </x:c>
      <x:c r="N32" s="35">
        <x:f>J32-M32</x:f>
        <x:v>0</x:v>
      </x:c>
    </x:row>
    <x:row r="33" spans="1:14" s="8" customFormat="1" ht="17.25" customHeight="1">
      <x:c r="A33" s="11" t="s">
        <x:v>221</x:v>
      </x:c>
      <x:c r="B33" s="9" t="s">
        <x:v>119</x:v>
      </x:c>
      <x:c r="C33" s="2">
        <x:v>1</x:v>
      </x:c>
      <x:c r="D33" s="14" t="s">
        <x:v>55</x:v>
      </x:c>
      <x:c r="E33" s="9"/>
      <x:c r="F33" s="38"/>
      <x:c r="G33" s="38">
        <x:f>H8*C33</x:f>
        <x:v>0</x:v>
      </x:c>
      <x:c r="H33" s="9"/>
      <x:c r="I33" s="9"/>
      <x:c r="J33" s="36">
        <x:f>F33+I33-G33-H33</x:f>
        <x:v>0</x:v>
      </x:c>
      <x:c r="K33" s="37">
        <x:f>J33/C33</x:f>
        <x:v>0</x:v>
      </x:c>
      <x:c r="L33" s="25">
        <x:f>IF(J33&lt;M33,119,"")</x:f>
        <x:v>119</x:v>
      </x:c>
      <x:c r="M33" s="34">
        <x:f>P8*C33</x:f>
        <x:v>12</x:v>
      </x:c>
      <x:c r="N33" s="35">
        <x:f>J33-M33</x:f>
        <x:v>-12</x:v>
      </x:c>
    </x:row>
    <x:row r="34" spans="1:14" s="8" customFormat="1" ht="17.25" customHeight="1">
      <x:c r="A34" s="11" t="s">
        <x:v>221</x:v>
      </x:c>
      <x:c r="B34" s="9" t="s">
        <x:v>119</x:v>
      </x:c>
      <x:c r="C34" s="2">
        <x:v>1</x:v>
      </x:c>
      <x:c r="D34" s="14" t="s">
        <x:v>44</x:v>
      </x:c>
      <x:c r="E34" s="9"/>
      <x:c r="F34" s="38"/>
      <x:c r="G34" s="38">
        <x:f>H9*C34</x:f>
        <x:v>0</x:v>
      </x:c>
      <x:c r="H34" s="9"/>
      <x:c r="I34" s="9"/>
      <x:c r="J34" s="36">
        <x:f>F34+I34-G34-H34</x:f>
        <x:v>0</x:v>
      </x:c>
      <x:c r="K34" s="37">
        <x:f>J34/C34</x:f>
        <x:v>0</x:v>
      </x:c>
      <x:c r="L34" s="25">
        <x:f>IF(J34&lt;M34,119,"")</x:f>
        <x:v>119</x:v>
      </x:c>
      <x:c r="M34" s="34">
        <x:f>P9*C34</x:f>
        <x:v>6</x:v>
      </x:c>
      <x:c r="N34" s="35">
        <x:f>J34-M34</x:f>
        <x:v>-6</x:v>
      </x:c>
    </x:row>
    <x:row r="35" spans="1:14" s="8" customFormat="1" ht="17.25" customHeight="1">
      <x:c r="A35" s="11" t="s">
        <x:v>221</x:v>
      </x:c>
      <x:c r="B35" s="9" t="s">
        <x:v>119</x:v>
      </x:c>
      <x:c r="C35" s="2">
        <x:v>1</x:v>
      </x:c>
      <x:c r="D35" s="14" t="s">
        <x:v>255</x:v>
      </x:c>
      <x:c r="E35" s="9"/>
      <x:c r="F35" s="38"/>
      <x:c r="G35" s="38">
        <x:f>H10*C35</x:f>
        <x:v>0</x:v>
      </x:c>
      <x:c r="H35" s="9"/>
      <x:c r="I35" s="9"/>
      <x:c r="J35" s="36">
        <x:f>F35+I35-G35-H35</x:f>
        <x:v>0</x:v>
      </x:c>
      <x:c r="K35" s="37">
        <x:f>J35/C35</x:f>
        <x:v>0</x:v>
      </x:c>
      <x:c r="L35" s="25">
        <x:f>IF(J35&lt;M35,119,"")</x:f>
        <x:v>119</x:v>
      </x:c>
      <x:c r="M35" s="34">
        <x:f>P10*C35</x:f>
        <x:v>8</x:v>
      </x:c>
      <x:c r="N35" s="35">
        <x:f>J35-M35</x:f>
        <x:v>-8</x:v>
      </x:c>
    </x:row>
    <x:row r="36" spans="1:14" s="8" customFormat="1" ht="17.25" customHeight="1">
      <x:c r="A36" s="11" t="s">
        <x:v>221</x:v>
      </x:c>
      <x:c r="B36" s="9" t="s">
        <x:v>119</x:v>
      </x:c>
      <x:c r="C36" s="2">
        <x:v>1</x:v>
      </x:c>
      <x:c r="D36" s="14" t="s">
        <x:v>76</x:v>
      </x:c>
      <x:c r="E36" s="9"/>
      <x:c r="F36" s="38"/>
      <x:c r="G36" s="38">
        <x:f>H11*C36</x:f>
        <x:v>0</x:v>
      </x:c>
      <x:c r="H36" s="9"/>
      <x:c r="I36" s="9"/>
      <x:c r="J36" s="36">
        <x:f>F36+I36-G36-H36</x:f>
        <x:v>0</x:v>
      </x:c>
      <x:c r="K36" s="37">
        <x:f>J36/C36</x:f>
        <x:v>0</x:v>
      </x:c>
      <x:c r="L36" s="25" t="str">
        <x:f>IF(J36&lt;M36,119,"")</x:f>
        <x:v/>
      </x:c>
      <x:c r="M36" s="34">
        <x:f>P11*C36</x:f>
        <x:v>0</x:v>
      </x:c>
      <x:c r="N36" s="35">
        <x:f>J36-M36</x:f>
        <x:v>0</x:v>
      </x:c>
    </x:row>
    <x:row r="37" spans="1:14" s="8" customFormat="1" ht="17.25" customHeight="1">
      <x:c r="A37" s="11" t="s">
        <x:v>221</x:v>
      </x:c>
      <x:c r="B37" s="9" t="s">
        <x:v>119</x:v>
      </x:c>
      <x:c r="C37" s="2">
        <x:v>1</x:v>
      </x:c>
      <x:c r="D37" s="14" t="s">
        <x:v>33</x:v>
      </x:c>
      <x:c r="E37" s="9"/>
      <x:c r="F37" s="38"/>
      <x:c r="G37" s="38">
        <x:f>H12*C37</x:f>
        <x:v>0</x:v>
      </x:c>
      <x:c r="H37" s="9"/>
      <x:c r="I37" s="9"/>
      <x:c r="J37" s="36">
        <x:f>F37+I37-G37-H37</x:f>
        <x:v>0</x:v>
      </x:c>
      <x:c r="K37" s="37">
        <x:f>J37/C37</x:f>
        <x:v>0</x:v>
      </x:c>
      <x:c r="L37" s="25" t="str">
        <x:f>IF(J37&lt;M37,119,"")</x:f>
        <x:v/>
      </x:c>
      <x:c r="M37" s="34">
        <x:f>P12*C37</x:f>
        <x:v>0</x:v>
      </x:c>
      <x:c r="N37" s="35">
        <x:f>J37-M37</x:f>
        <x:v>0</x:v>
      </x:c>
    </x:row>
    <x:row r="38" spans="1:14" s="8" customFormat="1" ht="17.25" customHeight="1">
      <x:c r="A38" s="11" t="s">
        <x:v>221</x:v>
      </x:c>
      <x:c r="B38" s="9" t="s">
        <x:v>119</x:v>
      </x:c>
      <x:c r="C38" s="2">
        <x:v>1</x:v>
      </x:c>
      <x:c r="D38" s="14" t="s">
        <x:v>261</x:v>
      </x:c>
      <x:c r="E38" s="9"/>
      <x:c r="F38" s="38"/>
      <x:c r="G38" s="38">
        <x:f>H13*C38</x:f>
        <x:v>0</x:v>
      </x:c>
      <x:c r="H38" s="9"/>
      <x:c r="I38" s="9"/>
      <x:c r="J38" s="36">
        <x:f>F38+I38-G38-H38</x:f>
        <x:v>0</x:v>
      </x:c>
      <x:c r="K38" s="37">
        <x:f>J38/C38</x:f>
        <x:v>0</x:v>
      </x:c>
      <x:c r="L38" s="25" t="str">
        <x:f>IF(J38&lt;M38,119,"")</x:f>
        <x:v/>
      </x:c>
      <x:c r="M38" s="34">
        <x:f>P13*C38</x:f>
        <x:v>0</x:v>
      </x:c>
      <x:c r="N38" s="35">
        <x:f>J38-M38</x:f>
        <x:v>0</x:v>
      </x:c>
    </x:row>
    <x:row r="39" spans="1:14" s="8" customFormat="1" ht="17.25" customHeight="1">
      <x:c r="A39" s="11" t="s">
        <x:v>221</x:v>
      </x:c>
      <x:c r="B39" s="9" t="s">
        <x:v>119</x:v>
      </x:c>
      <x:c r="C39" s="2">
        <x:v>1</x:v>
      </x:c>
      <x:c r="D39" s="14" t="s">
        <x:v>43</x:v>
      </x:c>
      <x:c r="E39" s="9"/>
      <x:c r="F39" s="38"/>
      <x:c r="G39" s="38">
        <x:f>H14*C39</x:f>
        <x:v>0</x:v>
      </x:c>
      <x:c r="H39" s="9"/>
      <x:c r="I39" s="9"/>
      <x:c r="J39" s="36">
        <x:f>F39+I39-G39-H39</x:f>
        <x:v>0</x:v>
      </x:c>
      <x:c r="K39" s="37">
        <x:f>J39/C39</x:f>
        <x:v>0</x:v>
      </x:c>
      <x:c r="L39" s="25">
        <x:f>IF(J39&lt;M39,119,"")</x:f>
        <x:v>119</x:v>
      </x:c>
      <x:c r="M39" s="34">
        <x:f>P14*C39</x:f>
        <x:v>28</x:v>
      </x:c>
      <x:c r="N39" s="35">
        <x:f>J39-M39</x:f>
        <x:v>-28</x:v>
      </x:c>
    </x:row>
    <x:row r="40" spans="1:14" s="8" customFormat="1" ht="17.25" customHeight="1">
      <x:c r="A40" s="11" t="s">
        <x:v>221</x:v>
      </x:c>
      <x:c r="B40" s="9" t="s">
        <x:v>119</x:v>
      </x:c>
      <x:c r="C40" s="2">
        <x:v>1</x:v>
      </x:c>
      <x:c r="D40" s="14" t="s">
        <x:v>21</x:v>
      </x:c>
      <x:c r="E40" s="9"/>
      <x:c r="F40" s="38"/>
      <x:c r="G40" s="38">
        <x:f>H15*C40</x:f>
        <x:v>0</x:v>
      </x:c>
      <x:c r="H40" s="9"/>
      <x:c r="I40" s="9"/>
      <x:c r="J40" s="36">
        <x:f>F40+I40-G40-H40</x:f>
        <x:v>0</x:v>
      </x:c>
      <x:c r="K40" s="37">
        <x:f>J40/C40</x:f>
        <x:v>0</x:v>
      </x:c>
      <x:c r="L40" s="25" t="str">
        <x:f>IF(J40&lt;M40,119,"")</x:f>
        <x:v/>
      </x:c>
      <x:c r="M40" s="34">
        <x:f>P15*C40</x:f>
        <x:v>0</x:v>
      </x:c>
      <x:c r="N40" s="35">
        <x:f>J40-M40</x:f>
        <x:v>0</x:v>
      </x:c>
    </x:row>
    <x:row r="41" spans="1:14" s="8" customFormat="1" ht="17.25" customHeight="1">
      <x:c r="A41" s="11" t="s">
        <x:v>221</x:v>
      </x:c>
      <x:c r="B41" s="9" t="s">
        <x:v>119</x:v>
      </x:c>
      <x:c r="C41" s="2">
        <x:v>1</x:v>
      </x:c>
      <x:c r="D41" s="14" t="s">
        <x:v>265</x:v>
      </x:c>
      <x:c r="E41" s="9"/>
      <x:c r="F41" s="38"/>
      <x:c r="G41" s="38">
        <x:f>H16*C41</x:f>
        <x:v>0</x:v>
      </x:c>
      <x:c r="H41" s="9"/>
      <x:c r="I41" s="9"/>
      <x:c r="J41" s="36">
        <x:f>F41+I41-G41-H41</x:f>
        <x:v>0</x:v>
      </x:c>
      <x:c r="K41" s="37">
        <x:f>J41/C41</x:f>
        <x:v>0</x:v>
      </x:c>
      <x:c r="L41" s="25">
        <x:f>IF(J41&lt;M41,119,"")</x:f>
        <x:v>119</x:v>
      </x:c>
      <x:c r="M41" s="34">
        <x:f>P16*C41</x:f>
        <x:v>4</x:v>
      </x:c>
      <x:c r="N41" s="35">
        <x:f>J41-M41</x:f>
        <x:v>-4</x:v>
      </x:c>
    </x:row>
    <x:row r="42" spans="1:14" s="8" customFormat="1" ht="17.25" customHeight="1">
      <x:c r="A42" s="11" t="s">
        <x:v>221</x:v>
      </x:c>
      <x:c r="B42" s="9" t="s">
        <x:v>119</x:v>
      </x:c>
      <x:c r="C42" s="2">
        <x:v>1</x:v>
      </x:c>
      <x:c r="D42" s="14" t="s">
        <x:v>80</x:v>
      </x:c>
      <x:c r="E42" s="9"/>
      <x:c r="F42" s="38"/>
      <x:c r="G42" s="38">
        <x:f>H17*C42</x:f>
        <x:v>0</x:v>
      </x:c>
      <x:c r="H42" s="9"/>
      <x:c r="I42" s="9"/>
      <x:c r="J42" s="36">
        <x:f>F42+I42-G42-H42</x:f>
        <x:v>0</x:v>
      </x:c>
      <x:c r="K42" s="37">
        <x:f>J42/C42</x:f>
        <x:v>0</x:v>
      </x:c>
      <x:c r="L42" s="25">
        <x:f>IF(J42&lt;M42,119,"")</x:f>
        <x:v>119</x:v>
      </x:c>
      <x:c r="M42" s="34">
        <x:f>P17*C42</x:f>
        <x:v>7</x:v>
      </x:c>
      <x:c r="N42" s="35">
        <x:f>J42-M42</x:f>
        <x:v>-7</x:v>
      </x:c>
    </x:row>
    <x:row r="43" spans="1:14" s="8" customFormat="1" ht="17.25" customHeight="1">
      <x:c r="A43" s="11" t="s">
        <x:v>221</x:v>
      </x:c>
      <x:c r="B43" s="9" t="s">
        <x:v>119</x:v>
      </x:c>
      <x:c r="C43" s="2">
        <x:v>1</x:v>
      </x:c>
      <x:c r="D43" s="14" t="s">
        <x:v>101</x:v>
      </x:c>
      <x:c r="E43" s="9"/>
      <x:c r="F43" s="38"/>
      <x:c r="G43" s="38">
        <x:f>H18*C43</x:f>
        <x:v>0</x:v>
      </x:c>
      <x:c r="H43" s="9"/>
      <x:c r="I43" s="9"/>
      <x:c r="J43" s="36">
        <x:f>F43+I43-G43-H43</x:f>
        <x:v>0</x:v>
      </x:c>
      <x:c r="K43" s="37">
        <x:f>J43/C43</x:f>
        <x:v>0</x:v>
      </x:c>
      <x:c r="L43" s="25">
        <x:f>IF(J43&lt;M43,119,"")</x:f>
        <x:v>119</x:v>
      </x:c>
      <x:c r="M43" s="34">
        <x:f>P18*C43</x:f>
        <x:v>4</x:v>
      </x:c>
      <x:c r="N43" s="35">
        <x:f>J43-M43</x:f>
        <x:v>-4</x:v>
      </x:c>
    </x:row>
    <x:row r="44" spans="1:14" s="8" customFormat="1" ht="17.25" customHeight="1">
      <x:c r="A44" s="11" t="s">
        <x:v>221</x:v>
      </x:c>
      <x:c r="B44" s="9" t="s">
        <x:v>119</x:v>
      </x:c>
      <x:c r="C44" s="2">
        <x:v>1</x:v>
      </x:c>
      <x:c r="D44" s="14" t="s">
        <x:v>31</x:v>
      </x:c>
      <x:c r="E44" s="9"/>
      <x:c r="F44" s="38"/>
      <x:c r="G44" s="38">
        <x:f>H19*C44</x:f>
        <x:v>0</x:v>
      </x:c>
      <x:c r="H44" s="9"/>
      <x:c r="I44" s="9"/>
      <x:c r="J44" s="36">
        <x:f>F44+I44-G44-H44</x:f>
        <x:v>0</x:v>
      </x:c>
      <x:c r="K44" s="37">
        <x:f>J44/C44</x:f>
        <x:v>0</x:v>
      </x:c>
      <x:c r="L44" s="25">
        <x:f>IF(J44&lt;M44,119,"")</x:f>
        <x:v>119</x:v>
      </x:c>
      <x:c r="M44" s="34">
        <x:f>P19*C44</x:f>
        <x:v>5</x:v>
      </x:c>
      <x:c r="N44" s="35">
        <x:f>J44-M44</x:f>
        <x:v>-5</x:v>
      </x:c>
    </x:row>
    <x:row r="45" spans="1:14" s="8" customFormat="1" ht="17.25" customHeight="1">
      <x:c r="A45" s="11" t="s">
        <x:v>221</x:v>
      </x:c>
      <x:c r="B45" s="9" t="s">
        <x:v>119</x:v>
      </x:c>
      <x:c r="C45" s="2">
        <x:v>1</x:v>
      </x:c>
      <x:c r="D45" s="14" t="s">
        <x:v>75</x:v>
      </x:c>
      <x:c r="E45" s="9"/>
      <x:c r="F45" s="38"/>
      <x:c r="G45" s="38">
        <x:f>H20*C45</x:f>
        <x:v>0</x:v>
      </x:c>
      <x:c r="H45" s="9"/>
      <x:c r="I45" s="9"/>
      <x:c r="J45" s="36">
        <x:f>F45+I45-G45-H45</x:f>
        <x:v>0</x:v>
      </x:c>
      <x:c r="K45" s="37">
        <x:f>J45/C45</x:f>
        <x:v>0</x:v>
      </x:c>
      <x:c r="L45" s="25">
        <x:f>IF(J45&lt;M45,119,"")</x:f>
        <x:v>119</x:v>
      </x:c>
      <x:c r="M45" s="34">
        <x:f>P20*C45</x:f>
        <x:v>3</x:v>
      </x:c>
      <x:c r="N45" s="35">
        <x:f>J45-M45</x:f>
        <x:v>-3</x:v>
      </x:c>
    </x:row>
    <x:row r="46" spans="1:14" s="8" customFormat="1" ht="17.25" customHeight="1">
      <x:c r="A46" s="11" t="s">
        <x:v>221</x:v>
      </x:c>
      <x:c r="B46" s="9" t="s">
        <x:v>119</x:v>
      </x:c>
      <x:c r="C46" s="2">
        <x:v>1</x:v>
      </x:c>
      <x:c r="D46" s="14" t="s">
        <x:v>70</x:v>
      </x:c>
      <x:c r="E46" s="9"/>
      <x:c r="F46" s="38"/>
      <x:c r="G46" s="38">
        <x:f>H21*C46</x:f>
        <x:v>0</x:v>
      </x:c>
      <x:c r="H46" s="9"/>
      <x:c r="I46" s="9"/>
      <x:c r="J46" s="36">
        <x:f>F46+I46-G46-H46</x:f>
        <x:v>0</x:v>
      </x:c>
      <x:c r="K46" s="37">
        <x:f>J46/C46</x:f>
        <x:v>0</x:v>
      </x:c>
      <x:c r="L46" s="25">
        <x:f>IF(J46&lt;M46,119,"")</x:f>
        <x:v>119</x:v>
      </x:c>
      <x:c r="M46" s="34">
        <x:f>P21*C46</x:f>
        <x:v>17</x:v>
      </x:c>
      <x:c r="N46" s="35">
        <x:f>J46-M46</x:f>
        <x:v>-17</x:v>
      </x:c>
    </x:row>
    <x:row r="47" spans="1:14" s="8" customFormat="1" ht="17.25" customHeight="1">
      <x:c r="A47" s="11" t="s">
        <x:v>221</x:v>
      </x:c>
      <x:c r="B47" s="9" t="s">
        <x:v>181</x:v>
      </x:c>
      <x:c r="C47" s="2">
        <x:v>1</x:v>
      </x:c>
      <x:c r="D47" s="14" t="s">
        <x:v>244</x:v>
      </x:c>
      <x:c r="E47" s="9"/>
      <x:c r="F47" s="38"/>
      <x:c r="G47" s="38">
        <x:f>H22*C47</x:f>
        <x:v>0</x:v>
      </x:c>
      <x:c r="H47" s="9"/>
      <x:c r="I47" s="9"/>
      <x:c r="J47" s="36">
        <x:f>F47+I47-G47-H47</x:f>
        <x:v>0</x:v>
      </x:c>
      <x:c r="K47" s="37">
        <x:f>J47/C47</x:f>
        <x:v>0</x:v>
      </x:c>
      <x:c r="L47" s="25" t="str">
        <x:f>IF(J47&lt;M47,119,"")</x:f>
        <x:v/>
      </x:c>
      <x:c r="M47" s="34">
        <x:f>P22*C47</x:f>
        <x:v>0</x:v>
      </x:c>
      <x:c r="N47" s="35">
        <x:f>J47-M47</x:f>
        <x:v>0</x:v>
      </x:c>
    </x:row>
    <x:row r="48" spans="1:14" s="8" customFormat="1" ht="17.25" customHeight="1">
      <x:c r="A48" s="11" t="s">
        <x:v>221</x:v>
      </x:c>
      <x:c r="B48" s="9" t="s">
        <x:v>181</x:v>
      </x:c>
      <x:c r="C48" s="2">
        <x:v>1</x:v>
      </x:c>
      <x:c r="D48" s="14" t="s">
        <x:v>247</x:v>
      </x:c>
      <x:c r="E48" s="9"/>
      <x:c r="F48" s="38"/>
      <x:c r="G48" s="38">
        <x:f>H23*C48</x:f>
        <x:v>0</x:v>
      </x:c>
      <x:c r="H48" s="9"/>
      <x:c r="I48" s="9"/>
      <x:c r="J48" s="36">
        <x:f>F48+I48-G48-H48</x:f>
        <x:v>0</x:v>
      </x:c>
      <x:c r="K48" s="37">
        <x:f>J48/C48</x:f>
        <x:v>0</x:v>
      </x:c>
      <x:c r="L48" s="25" t="str">
        <x:f>IF(J48&lt;M48,119,"")</x:f>
        <x:v/>
      </x:c>
      <x:c r="M48" s="34">
        <x:f>P23*C48</x:f>
        <x:v>0</x:v>
      </x:c>
      <x:c r="N48" s="35">
        <x:f>J48-M48</x:f>
        <x:v>0</x:v>
      </x:c>
    </x:row>
    <x:row r="49" spans="1:14" s="8" customFormat="1" ht="17.25" customHeight="1">
      <x:c r="A49" s="11" t="s">
        <x:v>221</x:v>
      </x:c>
      <x:c r="B49" s="9" t="s">
        <x:v>181</x:v>
      </x:c>
      <x:c r="C49" s="2">
        <x:v>1</x:v>
      </x:c>
      <x:c r="D49" s="14" t="s">
        <x:v>22</x:v>
      </x:c>
      <x:c r="E49" s="9"/>
      <x:c r="F49" s="38"/>
      <x:c r="G49" s="38">
        <x:f>H24*C49</x:f>
        <x:v>0</x:v>
      </x:c>
      <x:c r="H49" s="9"/>
      <x:c r="I49" s="9"/>
      <x:c r="J49" s="36">
        <x:f>F49+I49-G49-H49</x:f>
        <x:v>0</x:v>
      </x:c>
      <x:c r="K49" s="37">
        <x:f>J49/C49</x:f>
        <x:v>0</x:v>
      </x:c>
      <x:c r="L49" s="25" t="str">
        <x:f>IF(J49&lt;M49,119,"")</x:f>
        <x:v/>
      </x:c>
      <x:c r="M49" s="34">
        <x:f>P24*C49</x:f>
        <x:v>0</x:v>
      </x:c>
      <x:c r="N49" s="35">
        <x:f>J49-M49</x:f>
        <x:v>0</x:v>
      </x:c>
    </x:row>
    <x:row r="50" spans="1:14" s="8" customFormat="1" ht="17.25" customHeight="1">
      <x:c r="A50" s="11" t="s">
        <x:v>221</x:v>
      </x:c>
      <x:c r="B50" s="9" t="s">
        <x:v>181</x:v>
      </x:c>
      <x:c r="C50" s="2">
        <x:v>1</x:v>
      </x:c>
      <x:c r="D50" s="9" t="s">
        <x:v>96</x:v>
      </x:c>
      <x:c r="E50" s="9"/>
      <x:c r="F50" s="38"/>
      <x:c r="G50" s="38">
        <x:f>H25*C50</x:f>
        <x:v>0</x:v>
      </x:c>
      <x:c r="H50" s="9"/>
      <x:c r="I50" s="9"/>
      <x:c r="J50" s="36">
        <x:f>F50+I50-G50-H50</x:f>
        <x:v>0</x:v>
      </x:c>
      <x:c r="K50" s="37">
        <x:f>J50/C50</x:f>
        <x:v>0</x:v>
      </x:c>
      <x:c r="L50" s="25" t="str">
        <x:f>IF(J50&lt;M50,119,"")</x:f>
        <x:v/>
      </x:c>
      <x:c r="M50" s="34">
        <x:f>P25*C50</x:f>
        <x:v>0</x:v>
      </x:c>
      <x:c r="N50" s="35">
        <x:f>J50-M50</x:f>
        <x:v>0</x:v>
      </x:c>
    </x:row>
    <x:row r="51" spans="1:14" s="8" customFormat="1" ht="17.25" customHeight="1">
      <x:c r="A51" s="11" t="s">
        <x:v>221</x:v>
      </x:c>
      <x:c r="B51" s="9" t="s">
        <x:v>137</x:v>
      </x:c>
      <x:c r="C51" s="2">
        <x:v>1</x:v>
      </x:c>
      <x:c r="D51" s="14" t="s">
        <x:v>83</x:v>
      </x:c>
      <x:c r="E51" s="9"/>
      <x:c r="F51" s="38"/>
      <x:c r="G51" s="38">
        <x:f>J6*C51</x:f>
        <x:v>0</x:v>
      </x:c>
      <x:c r="H51" s="9"/>
      <x:c r="I51" s="9"/>
      <x:c r="J51" s="36">
        <x:f>F51+I51-G51-H51</x:f>
        <x:v>0</x:v>
      </x:c>
      <x:c r="K51" s="37">
        <x:f>J51/C51</x:f>
        <x:v>0</x:v>
      </x:c>
      <x:c r="L51" s="25">
        <x:f>IF(J51&lt;M51,119,"")</x:f>
        <x:v>119</x:v>
      </x:c>
      <x:c r="M51" s="34">
        <x:f>R6*C51</x:f>
        <x:v>13</x:v>
      </x:c>
      <x:c r="N51" s="35">
        <x:f>J51-M51</x:f>
        <x:v>-13</x:v>
      </x:c>
    </x:row>
    <x:row r="52" spans="1:14" s="8" customFormat="1" ht="17.25" customHeight="1">
      <x:c r="A52" s="11" t="s">
        <x:v>221</x:v>
      </x:c>
      <x:c r="B52" s="9" t="s">
        <x:v>137</x:v>
      </x:c>
      <x:c r="C52" s="2">
        <x:v>1</x:v>
      </x:c>
      <x:c r="D52" s="14" t="s">
        <x:v>41</x:v>
      </x:c>
      <x:c r="E52" s="9"/>
      <x:c r="F52" s="38"/>
      <x:c r="G52" s="38">
        <x:f>J7*C52</x:f>
        <x:v>0</x:v>
      </x:c>
      <x:c r="H52" s="9"/>
      <x:c r="I52" s="9"/>
      <x:c r="J52" s="36">
        <x:f>F52+I52-G52-H52</x:f>
        <x:v>0</x:v>
      </x:c>
      <x:c r="K52" s="37">
        <x:f>J52/C52</x:f>
        <x:v>0</x:v>
      </x:c>
      <x:c r="L52" s="25" t="str">
        <x:f>IF(J52&lt;M52,119,"")</x:f>
        <x:v/>
      </x:c>
      <x:c r="M52" s="34">
        <x:f>R7*C52</x:f>
        <x:v>0</x:v>
      </x:c>
      <x:c r="N52" s="35">
        <x:f>J52-M52</x:f>
        <x:v>0</x:v>
      </x:c>
    </x:row>
    <x:row r="53" spans="1:14" s="8" customFormat="1" ht="17.25" customHeight="1">
      <x:c r="A53" s="11" t="s">
        <x:v>221</x:v>
      </x:c>
      <x:c r="B53" s="9" t="s">
        <x:v>219</x:v>
      </x:c>
      <x:c r="C53" s="2">
        <x:v>1</x:v>
      </x:c>
      <x:c r="D53" s="14" t="s">
        <x:v>47</x:v>
      </x:c>
      <x:c r="E53" s="9"/>
      <x:c r="F53" s="38"/>
      <x:c r="G53" s="38">
        <x:f>J8*C53</x:f>
        <x:v>0</x:v>
      </x:c>
      <x:c r="H53" s="9"/>
      <x:c r="I53" s="9"/>
      <x:c r="J53" s="36">
        <x:f>F53+I53-G53-H53</x:f>
        <x:v>0</x:v>
      </x:c>
      <x:c r="K53" s="37">
        <x:f>J53/C53</x:f>
        <x:v>0</x:v>
      </x:c>
      <x:c r="L53" s="25">
        <x:f>IF(J53&lt;M53,119,"")</x:f>
        <x:v>119</x:v>
      </x:c>
      <x:c r="M53" s="34">
        <x:f>R8*C53</x:f>
        <x:v>10</x:v>
      </x:c>
      <x:c r="N53" s="35">
        <x:f>J53-M53</x:f>
        <x:v>-10</x:v>
      </x:c>
    </x:row>
    <x:row r="54" spans="1:14" s="8" customFormat="1" ht="17.25" customHeight="1">
      <x:c r="A54" s="11" t="s">
        <x:v>221</x:v>
      </x:c>
      <x:c r="B54" s="9" t="s">
        <x:v>219</x:v>
      </x:c>
      <x:c r="C54" s="2">
        <x:v>1</x:v>
      </x:c>
      <x:c r="D54" s="14" t="s">
        <x:v>73</x:v>
      </x:c>
      <x:c r="E54" s="9"/>
      <x:c r="F54" s="38">
        <x:v>2</x:v>
      </x:c>
      <x:c r="G54" s="38">
        <x:f>J9*C54</x:f>
        <x:v>2</x:v>
      </x:c>
      <x:c r="H54" s="9"/>
      <x:c r="I54" s="9"/>
      <x:c r="J54" s="36">
        <x:f>F54+I54-G54-H54</x:f>
        <x:v>0</x:v>
      </x:c>
      <x:c r="K54" s="37">
        <x:f>J54/C54</x:f>
        <x:v>0</x:v>
      </x:c>
      <x:c r="L54" s="25">
        <x:f>IF(J54&lt;M54,119,"")</x:f>
        <x:v>119</x:v>
      </x:c>
      <x:c r="M54" s="34">
        <x:f>R9*C54</x:f>
        <x:v>10</x:v>
      </x:c>
      <x:c r="N54" s="35">
        <x:f>J54-M54</x:f>
        <x:v>-10</x:v>
      </x:c>
    </x:row>
    <x:row r="55" spans="1:14" s="8" customFormat="1" ht="17.25" customHeight="1">
      <x:c r="A55" s="11" t="s">
        <x:v>223</x:v>
      </x:c>
      <x:c r="B55" s="9" t="s">
        <x:v>119</x:v>
      </x:c>
      <x:c r="C55" s="2">
        <x:v>1</x:v>
      </x:c>
      <x:c r="D55" s="14" t="s">
        <x:v>23</x:v>
      </x:c>
      <x:c r="E55" s="9"/>
      <x:c r="F55" s="38"/>
      <x:c r="G55" s="38">
        <x:f>H4*C55</x:f>
        <x:v>0</x:v>
      </x:c>
      <x:c r="H55" s="9"/>
      <x:c r="I55" s="9"/>
      <x:c r="J55" s="36">
        <x:f>F55+I55-G55-H55</x:f>
        <x:v>0</x:v>
      </x:c>
      <x:c r="K55" s="37">
        <x:f>J55/C55</x:f>
        <x:v>0</x:v>
      </x:c>
      <x:c r="L55" s="25" t="str">
        <x:f>IF(J55&lt;M55,119,"")</x:f>
        <x:v/>
      </x:c>
      <x:c r="M55" s="34">
        <x:f>P4*C55</x:f>
        <x:v>0</x:v>
      </x:c>
      <x:c r="N55" s="35">
        <x:f>J55-M55</x:f>
        <x:v>0</x:v>
      </x:c>
    </x:row>
    <x:row r="56" spans="1:14" s="8" customFormat="1" ht="17.25" customHeight="1">
      <x:c r="A56" s="11" t="s">
        <x:v>223</x:v>
      </x:c>
      <x:c r="B56" s="9" t="s">
        <x:v>119</x:v>
      </x:c>
      <x:c r="C56" s="2">
        <x:v>1</x:v>
      </x:c>
      <x:c r="D56" s="14" t="s">
        <x:v>94</x:v>
      </x:c>
      <x:c r="E56" s="9"/>
      <x:c r="F56" s="38"/>
      <x:c r="G56" s="38">
        <x:f>H5*C56</x:f>
        <x:v>0</x:v>
      </x:c>
      <x:c r="H56" s="9"/>
      <x:c r="I56" s="9"/>
      <x:c r="J56" s="36">
        <x:f>F56+I56-G56-H56</x:f>
        <x:v>0</x:v>
      </x:c>
      <x:c r="K56" s="37">
        <x:f>J56/C56</x:f>
        <x:v>0</x:v>
      </x:c>
      <x:c r="L56" s="25">
        <x:f>IF(J56&lt;M56,119,"")</x:f>
        <x:v>119</x:v>
      </x:c>
      <x:c r="M56" s="34">
        <x:f>P5*C56</x:f>
        <x:v>6</x:v>
      </x:c>
      <x:c r="N56" s="35">
        <x:f>J56-M56</x:f>
        <x:v>-6</x:v>
      </x:c>
    </x:row>
    <x:row r="57" spans="1:14" s="8" customFormat="1" ht="17.25" customHeight="1">
      <x:c r="A57" s="11" t="s">
        <x:v>223</x:v>
      </x:c>
      <x:c r="B57" s="9" t="s">
        <x:v>119</x:v>
      </x:c>
      <x:c r="C57" s="2">
        <x:v>1</x:v>
      </x:c>
      <x:c r="D57" s="14" t="s">
        <x:v>27</x:v>
      </x:c>
      <x:c r="E57" s="9"/>
      <x:c r="F57" s="38"/>
      <x:c r="G57" s="38">
        <x:f>H6*C57</x:f>
        <x:v>0</x:v>
      </x:c>
      <x:c r="H57" s="9"/>
      <x:c r="I57" s="9"/>
      <x:c r="J57" s="36">
        <x:f>F57+I57-G57-H57</x:f>
        <x:v>0</x:v>
      </x:c>
      <x:c r="K57" s="37">
        <x:f>J57/C57</x:f>
        <x:v>0</x:v>
      </x:c>
      <x:c r="L57" s="25" t="str">
        <x:f>IF(J57&lt;M57,119,"")</x:f>
        <x:v/>
      </x:c>
      <x:c r="M57" s="34">
        <x:f>P6*C57</x:f>
        <x:v>0</x:v>
      </x:c>
      <x:c r="N57" s="35">
        <x:f>J57-M57</x:f>
        <x:v>0</x:v>
      </x:c>
    </x:row>
    <x:row r="58" spans="1:14" s="8" customFormat="1" ht="17.25" customHeight="1">
      <x:c r="A58" s="11" t="s">
        <x:v>223</x:v>
      </x:c>
      <x:c r="B58" s="9" t="s">
        <x:v>119</x:v>
      </x:c>
      <x:c r="C58" s="2">
        <x:v>1</x:v>
      </x:c>
      <x:c r="D58" s="14" t="s">
        <x:v>36</x:v>
      </x:c>
      <x:c r="E58" s="9"/>
      <x:c r="F58" s="38"/>
      <x:c r="G58" s="38">
        <x:f>H7*C58</x:f>
        <x:v>0</x:v>
      </x:c>
      <x:c r="H58" s="9"/>
      <x:c r="I58" s="9"/>
      <x:c r="J58" s="36">
        <x:f>F58+I58-G58-H58</x:f>
        <x:v>0</x:v>
      </x:c>
      <x:c r="K58" s="37">
        <x:f>J58/C58</x:f>
        <x:v>0</x:v>
      </x:c>
      <x:c r="L58" s="25" t="str">
        <x:f>IF(J58&lt;M58,119,"")</x:f>
        <x:v/>
      </x:c>
      <x:c r="M58" s="34">
        <x:f>P7*C58</x:f>
        <x:v>0</x:v>
      </x:c>
      <x:c r="N58" s="35">
        <x:f>J58-M58</x:f>
        <x:v>0</x:v>
      </x:c>
    </x:row>
    <x:row r="59" spans="1:14" s="8" customFormat="1" ht="17.25" customHeight="1">
      <x:c r="A59" s="11" t="s">
        <x:v>223</x:v>
      </x:c>
      <x:c r="B59" s="9" t="s">
        <x:v>119</x:v>
      </x:c>
      <x:c r="C59" s="2">
        <x:v>1</x:v>
      </x:c>
      <x:c r="D59" s="14" t="s">
        <x:v>55</x:v>
      </x:c>
      <x:c r="E59" s="9"/>
      <x:c r="F59" s="38"/>
      <x:c r="G59" s="38">
        <x:f>H8*C59</x:f>
        <x:v>0</x:v>
      </x:c>
      <x:c r="H59" s="9"/>
      <x:c r="I59" s="9"/>
      <x:c r="J59" s="36">
        <x:f>F59+I59-G59-H59</x:f>
        <x:v>0</x:v>
      </x:c>
      <x:c r="K59" s="37">
        <x:f>J59/C59</x:f>
        <x:v>0</x:v>
      </x:c>
      <x:c r="L59" s="25">
        <x:f>IF(J59&lt;M59,119,"")</x:f>
        <x:v>119</x:v>
      </x:c>
      <x:c r="M59" s="34">
        <x:f>P8*C59</x:f>
        <x:v>12</x:v>
      </x:c>
      <x:c r="N59" s="35">
        <x:f>J59-M59</x:f>
        <x:v>-12</x:v>
      </x:c>
    </x:row>
    <x:row r="60" spans="1:14" s="8" customFormat="1" ht="17.25" customHeight="1">
      <x:c r="A60" s="11" t="s">
        <x:v>223</x:v>
      </x:c>
      <x:c r="B60" s="9" t="s">
        <x:v>119</x:v>
      </x:c>
      <x:c r="C60" s="2">
        <x:v>1</x:v>
      </x:c>
      <x:c r="D60" s="14" t="s">
        <x:v>44</x:v>
      </x:c>
      <x:c r="E60" s="9"/>
      <x:c r="F60" s="38"/>
      <x:c r="G60" s="38">
        <x:f>H9*C60</x:f>
        <x:v>0</x:v>
      </x:c>
      <x:c r="H60" s="9"/>
      <x:c r="I60" s="9"/>
      <x:c r="J60" s="36">
        <x:f>F60+I60-G60-H60</x:f>
        <x:v>0</x:v>
      </x:c>
      <x:c r="K60" s="37">
        <x:f>J60/C60</x:f>
        <x:v>0</x:v>
      </x:c>
      <x:c r="L60" s="25">
        <x:f>IF(J60&lt;M60,119,"")</x:f>
        <x:v>119</x:v>
      </x:c>
      <x:c r="M60" s="34">
        <x:f>P9*C60</x:f>
        <x:v>6</x:v>
      </x:c>
      <x:c r="N60" s="35">
        <x:f>J60-M60</x:f>
        <x:v>-6</x:v>
      </x:c>
    </x:row>
    <x:row r="61" spans="1:14" s="8" customFormat="1" ht="17.25" customHeight="1">
      <x:c r="A61" s="11" t="s">
        <x:v>223</x:v>
      </x:c>
      <x:c r="B61" s="9" t="s">
        <x:v>119</x:v>
      </x:c>
      <x:c r="C61" s="2">
        <x:v>1</x:v>
      </x:c>
      <x:c r="D61" s="14" t="s">
        <x:v>255</x:v>
      </x:c>
      <x:c r="E61" s="9"/>
      <x:c r="F61" s="38"/>
      <x:c r="G61" s="38">
        <x:f>H10*C61</x:f>
        <x:v>0</x:v>
      </x:c>
      <x:c r="H61" s="9"/>
      <x:c r="I61" s="9"/>
      <x:c r="J61" s="36">
        <x:f>F61+I61-G61-H61</x:f>
        <x:v>0</x:v>
      </x:c>
      <x:c r="K61" s="37">
        <x:f>J61/C61</x:f>
        <x:v>0</x:v>
      </x:c>
      <x:c r="L61" s="25">
        <x:f>IF(J61&lt;M61,119,"")</x:f>
        <x:v>119</x:v>
      </x:c>
      <x:c r="M61" s="34">
        <x:f>P10*C61</x:f>
        <x:v>8</x:v>
      </x:c>
      <x:c r="N61" s="35">
        <x:f>J61-M61</x:f>
        <x:v>-8</x:v>
      </x:c>
    </x:row>
    <x:row r="62" spans="1:14" s="8" customFormat="1" ht="17.25" customHeight="1">
      <x:c r="A62" s="11" t="s">
        <x:v>223</x:v>
      </x:c>
      <x:c r="B62" s="9" t="s">
        <x:v>119</x:v>
      </x:c>
      <x:c r="C62" s="2">
        <x:v>1</x:v>
      </x:c>
      <x:c r="D62" s="14" t="s">
        <x:v>76</x:v>
      </x:c>
      <x:c r="E62" s="9"/>
      <x:c r="F62" s="38"/>
      <x:c r="G62" s="38">
        <x:f>H11*C62</x:f>
        <x:v>0</x:v>
      </x:c>
      <x:c r="H62" s="9"/>
      <x:c r="I62" s="9"/>
      <x:c r="J62" s="36">
        <x:f>F62+I62-G62-H62</x:f>
        <x:v>0</x:v>
      </x:c>
      <x:c r="K62" s="37">
        <x:f>J62/C62</x:f>
        <x:v>0</x:v>
      </x:c>
      <x:c r="L62" s="25" t="str">
        <x:f>IF(J62&lt;M62,119,"")</x:f>
        <x:v/>
      </x:c>
      <x:c r="M62" s="34">
        <x:f>P11*C62</x:f>
        <x:v>0</x:v>
      </x:c>
      <x:c r="N62" s="35">
        <x:f>J62-M62</x:f>
        <x:v>0</x:v>
      </x:c>
    </x:row>
    <x:row r="63" spans="1:14" s="8" customFormat="1" ht="17.25" customHeight="1">
      <x:c r="A63" s="11" t="s">
        <x:v>223</x:v>
      </x:c>
      <x:c r="B63" s="9" t="s">
        <x:v>119</x:v>
      </x:c>
      <x:c r="C63" s="2">
        <x:v>1</x:v>
      </x:c>
      <x:c r="D63" s="14" t="s">
        <x:v>33</x:v>
      </x:c>
      <x:c r="E63" s="9"/>
      <x:c r="F63" s="38"/>
      <x:c r="G63" s="38">
        <x:f>H12*C63</x:f>
        <x:v>0</x:v>
      </x:c>
      <x:c r="H63" s="9"/>
      <x:c r="I63" s="9"/>
      <x:c r="J63" s="36">
        <x:f>F63+I63-G63-H63</x:f>
        <x:v>0</x:v>
      </x:c>
      <x:c r="K63" s="37">
        <x:f>J63/C63</x:f>
        <x:v>0</x:v>
      </x:c>
      <x:c r="L63" s="25" t="str">
        <x:f>IF(J63&lt;M63,119,"")</x:f>
        <x:v/>
      </x:c>
      <x:c r="M63" s="34">
        <x:f>P12*C63</x:f>
        <x:v>0</x:v>
      </x:c>
      <x:c r="N63" s="35">
        <x:f>J63-M63</x:f>
        <x:v>0</x:v>
      </x:c>
    </x:row>
    <x:row r="64" spans="1:14" s="8" customFormat="1" ht="17.25" customHeight="1">
      <x:c r="A64" s="11" t="s">
        <x:v>223</x:v>
      </x:c>
      <x:c r="B64" s="9" t="s">
        <x:v>119</x:v>
      </x:c>
      <x:c r="C64" s="2">
        <x:v>1</x:v>
      </x:c>
      <x:c r="D64" s="14" t="s">
        <x:v>261</x:v>
      </x:c>
      <x:c r="E64" s="9"/>
      <x:c r="F64" s="38"/>
      <x:c r="G64" s="38">
        <x:f>H13*C64</x:f>
        <x:v>0</x:v>
      </x:c>
      <x:c r="H64" s="9"/>
      <x:c r="I64" s="9"/>
      <x:c r="J64" s="36">
        <x:f>F64+I64-G64-H64</x:f>
        <x:v>0</x:v>
      </x:c>
      <x:c r="K64" s="37">
        <x:f>J64/C64</x:f>
        <x:v>0</x:v>
      </x:c>
      <x:c r="L64" s="25" t="str">
        <x:f>IF(J64&lt;M64,119,"")</x:f>
        <x:v/>
      </x:c>
      <x:c r="M64" s="34">
        <x:f>P13*C64</x:f>
        <x:v>0</x:v>
      </x:c>
      <x:c r="N64" s="35">
        <x:f>J64-M64</x:f>
        <x:v>0</x:v>
      </x:c>
    </x:row>
    <x:row r="65" spans="1:14" s="8" customFormat="1" ht="17.25" customHeight="1">
      <x:c r="A65" s="11" t="s">
        <x:v>223</x:v>
      </x:c>
      <x:c r="B65" s="9" t="s">
        <x:v>119</x:v>
      </x:c>
      <x:c r="C65" s="2">
        <x:v>1</x:v>
      </x:c>
      <x:c r="D65" s="14" t="s">
        <x:v>43</x:v>
      </x:c>
      <x:c r="E65" s="9"/>
      <x:c r="F65" s="38"/>
      <x:c r="G65" s="38">
        <x:f>H14*C65</x:f>
        <x:v>0</x:v>
      </x:c>
      <x:c r="H65" s="9"/>
      <x:c r="I65" s="9"/>
      <x:c r="J65" s="36">
        <x:f>F65+I65-G65-H65</x:f>
        <x:v>0</x:v>
      </x:c>
      <x:c r="K65" s="37">
        <x:f>J65/C65</x:f>
        <x:v>0</x:v>
      </x:c>
      <x:c r="L65" s="25">
        <x:f>IF(J65&lt;M65,119,"")</x:f>
        <x:v>119</x:v>
      </x:c>
      <x:c r="M65" s="34">
        <x:f>P14*C65</x:f>
        <x:v>28</x:v>
      </x:c>
      <x:c r="N65" s="35">
        <x:f>J65-M65</x:f>
        <x:v>-28</x:v>
      </x:c>
    </x:row>
    <x:row r="66" spans="1:14" s="8" customFormat="1" ht="17.25" customHeight="1">
      <x:c r="A66" s="11" t="s">
        <x:v>223</x:v>
      </x:c>
      <x:c r="B66" s="9" t="s">
        <x:v>119</x:v>
      </x:c>
      <x:c r="C66" s="2">
        <x:v>1</x:v>
      </x:c>
      <x:c r="D66" s="14" t="s">
        <x:v>21</x:v>
      </x:c>
      <x:c r="E66" s="9"/>
      <x:c r="F66" s="38"/>
      <x:c r="G66" s="38">
        <x:f>H15*C66</x:f>
        <x:v>0</x:v>
      </x:c>
      <x:c r="H66" s="9"/>
      <x:c r="I66" s="9"/>
      <x:c r="J66" s="36">
        <x:f>F66+I66-G66-H66</x:f>
        <x:v>0</x:v>
      </x:c>
      <x:c r="K66" s="37">
        <x:f>J66/C66</x:f>
        <x:v>0</x:v>
      </x:c>
      <x:c r="L66" s="25" t="str">
        <x:f>IF(J66&lt;M66,119,"")</x:f>
        <x:v/>
      </x:c>
      <x:c r="M66" s="34">
        <x:f>P15*C66</x:f>
        <x:v>0</x:v>
      </x:c>
      <x:c r="N66" s="35">
        <x:f>J66-M66</x:f>
        <x:v>0</x:v>
      </x:c>
    </x:row>
    <x:row r="67" spans="1:14" s="8" customFormat="1" ht="17.25" customHeight="1">
      <x:c r="A67" s="11" t="s">
        <x:v>223</x:v>
      </x:c>
      <x:c r="B67" s="9" t="s">
        <x:v>119</x:v>
      </x:c>
      <x:c r="C67" s="2">
        <x:v>1</x:v>
      </x:c>
      <x:c r="D67" s="14" t="s">
        <x:v>265</x:v>
      </x:c>
      <x:c r="E67" s="9"/>
      <x:c r="F67" s="38"/>
      <x:c r="G67" s="38">
        <x:f>H16*C67</x:f>
        <x:v>0</x:v>
      </x:c>
      <x:c r="H67" s="9"/>
      <x:c r="I67" s="9"/>
      <x:c r="J67" s="36">
        <x:f>F67+I67-G67-H67</x:f>
        <x:v>0</x:v>
      </x:c>
      <x:c r="K67" s="37">
        <x:f>J67/C67</x:f>
        <x:v>0</x:v>
      </x:c>
      <x:c r="L67" s="25">
        <x:f>IF(J67&lt;M67,119,"")</x:f>
        <x:v>119</x:v>
      </x:c>
      <x:c r="M67" s="34">
        <x:f>P16*C67</x:f>
        <x:v>4</x:v>
      </x:c>
      <x:c r="N67" s="35">
        <x:f>J67-M67</x:f>
        <x:v>-4</x:v>
      </x:c>
    </x:row>
    <x:row r="68" spans="1:14" s="8" customFormat="1" ht="17.25" customHeight="1">
      <x:c r="A68" s="11" t="s">
        <x:v>223</x:v>
      </x:c>
      <x:c r="B68" s="9" t="s">
        <x:v>119</x:v>
      </x:c>
      <x:c r="C68" s="2">
        <x:v>1</x:v>
      </x:c>
      <x:c r="D68" s="14" t="s">
        <x:v>80</x:v>
      </x:c>
      <x:c r="E68" s="9"/>
      <x:c r="F68" s="38"/>
      <x:c r="G68" s="38">
        <x:f>H17*C68</x:f>
        <x:v>0</x:v>
      </x:c>
      <x:c r="H68" s="9"/>
      <x:c r="I68" s="9"/>
      <x:c r="J68" s="36">
        <x:f>F68+I68-G68-H68</x:f>
        <x:v>0</x:v>
      </x:c>
      <x:c r="K68" s="37">
        <x:f>J68/C68</x:f>
        <x:v>0</x:v>
      </x:c>
      <x:c r="L68" s="25">
        <x:f>IF(J68&lt;M68,119,"")</x:f>
        <x:v>119</x:v>
      </x:c>
      <x:c r="M68" s="34">
        <x:f>P17*C68</x:f>
        <x:v>7</x:v>
      </x:c>
      <x:c r="N68" s="35">
        <x:f>J68-M68</x:f>
        <x:v>-7</x:v>
      </x:c>
    </x:row>
    <x:row r="69" spans="1:14" s="8" customFormat="1" ht="17.25" customHeight="1">
      <x:c r="A69" s="11" t="s">
        <x:v>223</x:v>
      </x:c>
      <x:c r="B69" s="9" t="s">
        <x:v>119</x:v>
      </x:c>
      <x:c r="C69" s="2">
        <x:v>1</x:v>
      </x:c>
      <x:c r="D69" s="14" t="s">
        <x:v>101</x:v>
      </x:c>
      <x:c r="E69" s="9"/>
      <x:c r="F69" s="38"/>
      <x:c r="G69" s="38">
        <x:f>H18*C69</x:f>
        <x:v>0</x:v>
      </x:c>
      <x:c r="H69" s="9"/>
      <x:c r="I69" s="9"/>
      <x:c r="J69" s="36">
        <x:f>F69+I69-G69-H69</x:f>
        <x:v>0</x:v>
      </x:c>
      <x:c r="K69" s="37">
        <x:f>J69/C69</x:f>
        <x:v>0</x:v>
      </x:c>
      <x:c r="L69" s="25">
        <x:f>IF(J69&lt;M69,119,"")</x:f>
        <x:v>119</x:v>
      </x:c>
      <x:c r="M69" s="34">
        <x:f>P18*C69</x:f>
        <x:v>4</x:v>
      </x:c>
      <x:c r="N69" s="35">
        <x:f>J69-M69</x:f>
        <x:v>-4</x:v>
      </x:c>
    </x:row>
    <x:row r="70" spans="1:14" s="8" customFormat="1" ht="17.25" customHeight="1">
      <x:c r="A70" s="11" t="s">
        <x:v>223</x:v>
      </x:c>
      <x:c r="B70" s="9" t="s">
        <x:v>119</x:v>
      </x:c>
      <x:c r="C70" s="2">
        <x:v>1</x:v>
      </x:c>
      <x:c r="D70" s="14" t="s">
        <x:v>31</x:v>
      </x:c>
      <x:c r="E70" s="9"/>
      <x:c r="F70" s="38"/>
      <x:c r="G70" s="38">
        <x:f>H19*C70</x:f>
        <x:v>0</x:v>
      </x:c>
      <x:c r="H70" s="9"/>
      <x:c r="I70" s="9"/>
      <x:c r="J70" s="36">
        <x:f>F70+I70-G70-H70</x:f>
        <x:v>0</x:v>
      </x:c>
      <x:c r="K70" s="37">
        <x:f>J70/C70</x:f>
        <x:v>0</x:v>
      </x:c>
      <x:c r="L70" s="25">
        <x:f>IF(J70&lt;M70,119,"")</x:f>
        <x:v>119</x:v>
      </x:c>
      <x:c r="M70" s="34">
        <x:f>P19*C70</x:f>
        <x:v>5</x:v>
      </x:c>
      <x:c r="N70" s="35">
        <x:f>J70-M70</x:f>
        <x:v>-5</x:v>
      </x:c>
    </x:row>
    <x:row r="71" spans="1:14" s="8" customFormat="1" ht="17.25" customHeight="1">
      <x:c r="A71" s="11" t="s">
        <x:v>223</x:v>
      </x:c>
      <x:c r="B71" s="9" t="s">
        <x:v>119</x:v>
      </x:c>
      <x:c r="C71" s="2">
        <x:v>1</x:v>
      </x:c>
      <x:c r="D71" s="14" t="s">
        <x:v>75</x:v>
      </x:c>
      <x:c r="E71" s="9"/>
      <x:c r="F71" s="38"/>
      <x:c r="G71" s="38">
        <x:f>H20*C71</x:f>
        <x:v>0</x:v>
      </x:c>
      <x:c r="H71" s="9"/>
      <x:c r="I71" s="9"/>
      <x:c r="J71" s="36">
        <x:f>F71+I71-G71-H71</x:f>
        <x:v>0</x:v>
      </x:c>
      <x:c r="K71" s="37">
        <x:f>J71/C71</x:f>
        <x:v>0</x:v>
      </x:c>
      <x:c r="L71" s="25">
        <x:f>IF(J71&lt;M71,119,"")</x:f>
        <x:v>119</x:v>
      </x:c>
      <x:c r="M71" s="34">
        <x:f>P20*C71</x:f>
        <x:v>3</x:v>
      </x:c>
      <x:c r="N71" s="35">
        <x:f>J71-M71</x:f>
        <x:v>-3</x:v>
      </x:c>
    </x:row>
    <x:row r="72" spans="1:14" s="8" customFormat="1" ht="17.25" customHeight="1">
      <x:c r="A72" s="11" t="s">
        <x:v>223</x:v>
      </x:c>
      <x:c r="B72" s="9" t="s">
        <x:v>119</x:v>
      </x:c>
      <x:c r="C72" s="2">
        <x:v>1</x:v>
      </x:c>
      <x:c r="D72" s="14" t="s">
        <x:v>70</x:v>
      </x:c>
      <x:c r="E72" s="9"/>
      <x:c r="F72" s="38"/>
      <x:c r="G72" s="38">
        <x:f>H21*C72</x:f>
        <x:v>0</x:v>
      </x:c>
      <x:c r="H72" s="9"/>
      <x:c r="I72" s="9"/>
      <x:c r="J72" s="36">
        <x:f>F72+I72-G72-H72</x:f>
        <x:v>0</x:v>
      </x:c>
      <x:c r="K72" s="37">
        <x:f>J72/C72</x:f>
        <x:v>0</x:v>
      </x:c>
      <x:c r="L72" s="25">
        <x:f>IF(J72&lt;M72,119,"")</x:f>
        <x:v>119</x:v>
      </x:c>
      <x:c r="M72" s="34">
        <x:f>P21*C72</x:f>
        <x:v>17</x:v>
      </x:c>
      <x:c r="N72" s="35">
        <x:f>J72-M72</x:f>
        <x:v>-17</x:v>
      </x:c>
    </x:row>
    <x:row r="73" spans="1:14" s="8" customFormat="1" ht="17.25" customHeight="1">
      <x:c r="A73" s="11" t="s">
        <x:v>223</x:v>
      </x:c>
      <x:c r="B73" s="9" t="s">
        <x:v>181</x:v>
      </x:c>
      <x:c r="C73" s="2">
        <x:v>1</x:v>
      </x:c>
      <x:c r="D73" s="14" t="s">
        <x:v>244</x:v>
      </x:c>
      <x:c r="E73" s="9"/>
      <x:c r="F73" s="38"/>
      <x:c r="G73" s="38">
        <x:f>H22*C73</x:f>
        <x:v>0</x:v>
      </x:c>
      <x:c r="H73" s="9"/>
      <x:c r="I73" s="9"/>
      <x:c r="J73" s="36">
        <x:f>F73+I73-G73-H73</x:f>
        <x:v>0</x:v>
      </x:c>
      <x:c r="K73" s="37">
        <x:f>J73/C73</x:f>
        <x:v>0</x:v>
      </x:c>
      <x:c r="L73" s="25" t="str">
        <x:f>IF(J73&lt;M73,119,"")</x:f>
        <x:v/>
      </x:c>
      <x:c r="M73" s="34">
        <x:f>P22*C73</x:f>
        <x:v>0</x:v>
      </x:c>
      <x:c r="N73" s="35">
        <x:f>J73-M73</x:f>
        <x:v>0</x:v>
      </x:c>
    </x:row>
    <x:row r="74" spans="1:14" s="8" customFormat="1" ht="17.25" customHeight="1">
      <x:c r="A74" s="11" t="s">
        <x:v>223</x:v>
      </x:c>
      <x:c r="B74" s="9" t="s">
        <x:v>181</x:v>
      </x:c>
      <x:c r="C74" s="2">
        <x:v>1</x:v>
      </x:c>
      <x:c r="D74" s="14" t="s">
        <x:v>247</x:v>
      </x:c>
      <x:c r="E74" s="9"/>
      <x:c r="F74" s="38"/>
      <x:c r="G74" s="38">
        <x:f>H23*C74</x:f>
        <x:v>0</x:v>
      </x:c>
      <x:c r="H74" s="9"/>
      <x:c r="I74" s="9"/>
      <x:c r="J74" s="36">
        <x:f>F74+I74-G74-H74</x:f>
        <x:v>0</x:v>
      </x:c>
      <x:c r="K74" s="37">
        <x:f>J74/C74</x:f>
        <x:v>0</x:v>
      </x:c>
      <x:c r="L74" s="25" t="str">
        <x:f>IF(J74&lt;M74,119,"")</x:f>
        <x:v/>
      </x:c>
      <x:c r="M74" s="34">
        <x:f>P23*C74</x:f>
        <x:v>0</x:v>
      </x:c>
      <x:c r="N74" s="35">
        <x:f>J74-M74</x:f>
        <x:v>0</x:v>
      </x:c>
    </x:row>
    <x:row r="75" spans="1:14" s="8" customFormat="1" ht="17.25" customHeight="1">
      <x:c r="A75" s="11" t="s">
        <x:v>223</x:v>
      </x:c>
      <x:c r="B75" s="9" t="s">
        <x:v>181</x:v>
      </x:c>
      <x:c r="C75" s="2">
        <x:v>1</x:v>
      </x:c>
      <x:c r="D75" s="14" t="s">
        <x:v>22</x:v>
      </x:c>
      <x:c r="E75" s="9"/>
      <x:c r="F75" s="38"/>
      <x:c r="G75" s="38">
        <x:f>H24*C75</x:f>
        <x:v>0</x:v>
      </x:c>
      <x:c r="H75" s="9"/>
      <x:c r="I75" s="9"/>
      <x:c r="J75" s="36">
        <x:f>F75+I75-G75-H75</x:f>
        <x:v>0</x:v>
      </x:c>
      <x:c r="K75" s="37">
        <x:f>J75/C75</x:f>
        <x:v>0</x:v>
      </x:c>
      <x:c r="L75" s="25" t="str">
        <x:f>IF(J75&lt;M75,119,"")</x:f>
        <x:v/>
      </x:c>
      <x:c r="M75" s="34">
        <x:f>P24*C75</x:f>
        <x:v>0</x:v>
      </x:c>
      <x:c r="N75" s="35">
        <x:f>J75-M75</x:f>
        <x:v>0</x:v>
      </x:c>
    </x:row>
    <x:row r="76" spans="1:14" s="8" customFormat="1" ht="17.25" customHeight="1">
      <x:c r="A76" s="11" t="s">
        <x:v>223</x:v>
      </x:c>
      <x:c r="B76" s="9" t="s">
        <x:v>181</x:v>
      </x:c>
      <x:c r="C76" s="2">
        <x:v>1</x:v>
      </x:c>
      <x:c r="D76" s="9" t="s">
        <x:v>96</x:v>
      </x:c>
      <x:c r="E76" s="9"/>
      <x:c r="F76" s="38"/>
      <x:c r="G76" s="38">
        <x:f>H25*C76</x:f>
        <x:v>0</x:v>
      </x:c>
      <x:c r="H76" s="9"/>
      <x:c r="I76" s="9"/>
      <x:c r="J76" s="36">
        <x:f>F76+I76-G76-H76</x:f>
        <x:v>0</x:v>
      </x:c>
      <x:c r="K76" s="37">
        <x:f>J76/C76</x:f>
        <x:v>0</x:v>
      </x:c>
      <x:c r="L76" s="25" t="str">
        <x:f>IF(J76&lt;M76,119,"")</x:f>
        <x:v/>
      </x:c>
      <x:c r="M76" s="34">
        <x:f>P25*C76</x:f>
        <x:v>0</x:v>
      </x:c>
      <x:c r="N76" s="35">
        <x:f>J76-M76</x:f>
        <x:v>0</x:v>
      </x:c>
    </x:row>
    <x:row r="77" spans="1:14" s="8" customFormat="1" ht="17.25" customHeight="1">
      <x:c r="A77" s="11" t="s">
        <x:v>223</x:v>
      </x:c>
      <x:c r="B77" s="9" t="s">
        <x:v>137</x:v>
      </x:c>
      <x:c r="C77" s="2">
        <x:v>1</x:v>
      </x:c>
      <x:c r="D77" s="14" t="s">
        <x:v>83</x:v>
      </x:c>
      <x:c r="E77" s="9"/>
      <x:c r="F77" s="38"/>
      <x:c r="G77" s="38">
        <x:f>J6*C77</x:f>
        <x:v>0</x:v>
      </x:c>
      <x:c r="H77" s="9"/>
      <x:c r="I77" s="9"/>
      <x:c r="J77" s="36">
        <x:f>F77+I77-G77-H77</x:f>
        <x:v>0</x:v>
      </x:c>
      <x:c r="K77" s="37">
        <x:f>J77/C77</x:f>
        <x:v>0</x:v>
      </x:c>
      <x:c r="L77" s="25">
        <x:f>IF(J77&lt;M77,119,"")</x:f>
        <x:v>119</x:v>
      </x:c>
      <x:c r="M77" s="34">
        <x:f>R6</x:f>
        <x:v>13</x:v>
      </x:c>
      <x:c r="N77" s="35">
        <x:f>J77-M77</x:f>
        <x:v>-13</x:v>
      </x:c>
    </x:row>
    <x:row r="78" spans="1:14" s="8" customFormat="1" ht="17.25" customHeight="1">
      <x:c r="A78" s="11" t="s">
        <x:v>223</x:v>
      </x:c>
      <x:c r="B78" s="9" t="s">
        <x:v>137</x:v>
      </x:c>
      <x:c r="C78" s="2">
        <x:v>1</x:v>
      </x:c>
      <x:c r="D78" s="14" t="s">
        <x:v>41</x:v>
      </x:c>
      <x:c r="E78" s="9"/>
      <x:c r="F78" s="38"/>
      <x:c r="G78" s="38">
        <x:f>J7*C78</x:f>
        <x:v>0</x:v>
      </x:c>
      <x:c r="H78" s="9"/>
      <x:c r="I78" s="9"/>
      <x:c r="J78" s="36">
        <x:f>F78+I78-G78-H78</x:f>
        <x:v>0</x:v>
      </x:c>
      <x:c r="K78" s="37">
        <x:f>J78/C78</x:f>
        <x:v>0</x:v>
      </x:c>
      <x:c r="L78" s="25" t="str">
        <x:f>IF(J78&lt;M78,119,"")</x:f>
        <x:v/>
      </x:c>
      <x:c r="M78" s="34">
        <x:f>R7</x:f>
        <x:v>0</x:v>
      </x:c>
      <x:c r="N78" s="35">
        <x:f>J78-M78</x:f>
        <x:v>0</x:v>
      </x:c>
    </x:row>
    <x:row r="79" spans="1:14" s="8" customFormat="1" ht="17.25" customHeight="1">
      <x:c r="A79" s="11" t="s">
        <x:v>223</x:v>
      </x:c>
      <x:c r="B79" s="9" t="s">
        <x:v>219</x:v>
      </x:c>
      <x:c r="C79" s="2">
        <x:v>1</x:v>
      </x:c>
      <x:c r="D79" s="14" t="s">
        <x:v>47</x:v>
      </x:c>
      <x:c r="E79" s="9"/>
      <x:c r="F79" s="38"/>
      <x:c r="G79" s="38">
        <x:f>J8*C79</x:f>
        <x:v>0</x:v>
      </x:c>
      <x:c r="H79" s="9"/>
      <x:c r="I79" s="9"/>
      <x:c r="J79" s="36">
        <x:f>F79+I79-G79-H79</x:f>
        <x:v>0</x:v>
      </x:c>
      <x:c r="K79" s="37">
        <x:f>J79/C79</x:f>
        <x:v>0</x:v>
      </x:c>
      <x:c r="L79" s="25">
        <x:f>IF(J79&lt;M79,119,"")</x:f>
        <x:v>119</x:v>
      </x:c>
      <x:c r="M79" s="34">
        <x:f>R8</x:f>
        <x:v>10</x:v>
      </x:c>
      <x:c r="N79" s="35">
        <x:f>J79-M79</x:f>
        <x:v>-10</x:v>
      </x:c>
    </x:row>
    <x:row r="80" spans="1:14" s="8" customFormat="1" ht="17.25" customHeight="1">
      <x:c r="A80" s="11" t="s">
        <x:v>223</x:v>
      </x:c>
      <x:c r="B80" s="9" t="s">
        <x:v>219</x:v>
      </x:c>
      <x:c r="C80" s="2">
        <x:v>1</x:v>
      </x:c>
      <x:c r="D80" s="14" t="s">
        <x:v>73</x:v>
      </x:c>
      <x:c r="E80" s="9"/>
      <x:c r="F80" s="38">
        <x:v>2</x:v>
      </x:c>
      <x:c r="G80" s="38">
        <x:f>J9*C80</x:f>
        <x:v>2</x:v>
      </x:c>
      <x:c r="H80" s="9"/>
      <x:c r="I80" s="9"/>
      <x:c r="J80" s="36">
        <x:f>F80+I80-G80-H80</x:f>
        <x:v>0</x:v>
      </x:c>
      <x:c r="K80" s="37">
        <x:f>J80/C80</x:f>
        <x:v>0</x:v>
      </x:c>
      <x:c r="L80" s="25">
        <x:f>IF(J80&lt;M80,119,"")</x:f>
        <x:v>119</x:v>
      </x:c>
      <x:c r="M80" s="34">
        <x:f>R9</x:f>
        <x:v>10</x:v>
      </x:c>
      <x:c r="N80" s="35">
        <x:f>J80-M80</x:f>
        <x:v>-10</x:v>
      </x:c>
    </x:row>
    <x:row r="81" spans="1:14" ht="18" customHeight="1">
      <x:c r="A81" s="15" t="s">
        <x:v>281</x:v>
      </x:c>
      <x:c r="B81" s="14" t="s">
        <x:v>189</x:v>
      </x:c>
      <x:c r="C81" s="6">
        <x:v>2</x:v>
      </x:c>
      <x:c r="D81" s="14" t="s">
        <x:v>268</x:v>
      </x:c>
      <x:c r="E81" s="1" t="s">
        <x:v>32</x:v>
      </x:c>
      <x:c r="F81" s="33">
        <x:f>'2026.9.9'!J29</x:f>
        <x:v>310</x:v>
      </x:c>
      <x:c r="G81" s="33">
        <x:f>SUM(H4:H20)*C81</x:f>
        <x:v>0</x:v>
      </x:c>
      <x:c r="H81" s="6"/>
      <x:c r="I81" s="6"/>
      <x:c r="J81" s="36">
        <x:f>F81+I81-G81-H81</x:f>
        <x:v>310</x:v>
      </x:c>
      <x:c r="K81" s="37">
        <x:f>J81/C81</x:f>
        <x:v>155</x:v>
      </x:c>
      <x:c r="L81" s="25" t="str">
        <x:f>IF(J81&lt;M81,119,"")</x:f>
        <x:v/>
      </x:c>
      <x:c r="M81" s="34">
        <x:f>SUM(P4:P20)*C81</x:f>
        <x:v>166</x:v>
      </x:c>
      <x:c r="N81" s="35">
        <x:f>J81-M81</x:f>
        <x:v>144</x:v>
      </x:c>
    </x:row>
    <x:row r="82" spans="1:14" ht="18" customHeight="1">
      <x:c r="A82" s="15" t="s">
        <x:v>281</x:v>
      </x:c>
      <x:c r="B82" s="14" t="s">
        <x:v>189</x:v>
      </x:c>
      <x:c r="C82" s="6">
        <x:v>2</x:v>
      </x:c>
      <x:c r="D82" s="14" t="s">
        <x:v>70</x:v>
      </x:c>
      <x:c r="E82" s="1" t="s">
        <x:v>65</x:v>
      </x:c>
      <x:c r="F82" s="33">
        <x:f>'2026.9.9'!J30</x:f>
        <x:v>240</x:v>
      </x:c>
      <x:c r="G82" s="33">
        <x:f>H21*C82</x:f>
        <x:v>0</x:v>
      </x:c>
      <x:c r="H82" s="6"/>
      <x:c r="I82" s="6"/>
      <x:c r="J82" s="36">
        <x:f>F82+I82-G82-H82</x:f>
        <x:v>240</x:v>
      </x:c>
      <x:c r="K82" s="37">
        <x:f>J82/C82</x:f>
        <x:v>120</x:v>
      </x:c>
      <x:c r="L82" s="25" t="str">
        <x:f>IF(J82&lt;M82,119,"")</x:f>
        <x:v/>
      </x:c>
      <x:c r="M82" s="34">
        <x:f>P21*C82</x:f>
        <x:v>34</x:v>
      </x:c>
      <x:c r="N82" s="35">
        <x:f>J82-M82</x:f>
        <x:v>206</x:v>
      </x:c>
    </x:row>
    <x:row r="83" spans="1:14" customFormat="1" ht="18" customHeight="1">
      <x:c r="A83" s="15" t="s">
        <x:v>281</x:v>
      </x:c>
      <x:c r="B83" s="14" t="s">
        <x:v>189</x:v>
      </x:c>
      <x:c r="C83" s="6">
        <x:v>2</x:v>
      </x:c>
      <x:c r="D83" s="14" t="s">
        <x:v>244</x:v>
      </x:c>
      <x:c r="E83" s="1" t="s">
        <x:v>32</x:v>
      </x:c>
      <x:c r="F83" s="33">
        <x:f>'2026.9.9'!J31</x:f>
        <x:v>17</x:v>
      </x:c>
      <x:c r="G83" s="33">
        <x:f>H22*C83</x:f>
        <x:v>0</x:v>
      </x:c>
      <x:c r="H83" s="6"/>
      <x:c r="I83" s="6"/>
      <x:c r="J83" s="36">
        <x:f>F83+I83-G83-H83</x:f>
        <x:v>17</x:v>
      </x:c>
      <x:c r="K83" s="37">
        <x:f>J83/C83</x:f>
        <x:v>8.5</x:v>
      </x:c>
      <x:c r="L83" s="25" t="str">
        <x:f>IF(J83&lt;M83,119,"")</x:f>
        <x:v/>
      </x:c>
      <x:c r="M83" s="34">
        <x:f>P22*C83</x:f>
        <x:v>0</x:v>
      </x:c>
      <x:c r="N83" s="35">
        <x:f>J83-M83</x:f>
        <x:v>17</x:v>
      </x:c>
    </x:row>
    <x:row r="84" spans="1:14" customFormat="1" ht="18" customHeight="1">
      <x:c r="A84" s="15" t="s">
        <x:v>281</x:v>
      </x:c>
      <x:c r="B84" s="14" t="s">
        <x:v>189</x:v>
      </x:c>
      <x:c r="C84" s="6">
        <x:v>2</x:v>
      </x:c>
      <x:c r="D84" s="14" t="s">
        <x:v>247</x:v>
      </x:c>
      <x:c r="E84" s="1" t="s">
        <x:v>110</x:v>
      </x:c>
      <x:c r="F84" s="33">
        <x:f>'2026.9.9'!J32</x:f>
        <x:v>17</x:v>
      </x:c>
      <x:c r="G84" s="33">
        <x:f>H23*C84</x:f>
        <x:v>0</x:v>
      </x:c>
      <x:c r="H84" s="6"/>
      <x:c r="I84" s="6"/>
      <x:c r="J84" s="36">
        <x:f>F84+I84-G84-H84</x:f>
        <x:v>17</x:v>
      </x:c>
      <x:c r="K84" s="37">
        <x:f>J84/C84</x:f>
        <x:v>8.5</x:v>
      </x:c>
      <x:c r="L84" s="25" t="str">
        <x:f>IF(J84&lt;M84,119,"")</x:f>
        <x:v/>
      </x:c>
      <x:c r="M84" s="34">
        <x:f>P23*C84</x:f>
        <x:v>0</x:v>
      </x:c>
      <x:c r="N84" s="35">
        <x:f>J84-M84</x:f>
        <x:v>17</x:v>
      </x:c>
    </x:row>
    <x:row r="85" spans="1:14" customFormat="1" ht="18" customHeight="1">
      <x:c r="A85" s="15" t="s">
        <x:v>281</x:v>
      </x:c>
      <x:c r="B85" s="14" t="s">
        <x:v>189</x:v>
      </x:c>
      <x:c r="C85" s="6">
        <x:v>2</x:v>
      </x:c>
      <x:c r="D85" s="14" t="s">
        <x:v>11</x:v>
      </x:c>
      <x:c r="E85" s="1" t="s">
        <x:v>103</x:v>
      </x:c>
      <x:c r="F85" s="33">
        <x:f>'2026.9.9'!J33</x:f>
        <x:v>4</x:v>
      </x:c>
      <x:c r="G85" s="33">
        <x:f>SUM(H24:H25)*C85</x:f>
        <x:v>0</x:v>
      </x:c>
      <x:c r="H85" s="6"/>
      <x:c r="I85" s="6"/>
      <x:c r="J85" s="36">
        <x:f>F85+I85-G85-H85</x:f>
        <x:v>4</x:v>
      </x:c>
      <x:c r="K85" s="37">
        <x:f>J85/C85</x:f>
        <x:v>2</x:v>
      </x:c>
      <x:c r="L85" s="25" t="str">
        <x:f>IF(J85&lt;M85,119,"")</x:f>
        <x:v/>
      </x:c>
      <x:c r="M85" s="34">
        <x:f>SUM(P24:P25)*C85</x:f>
        <x:v>0</x:v>
      </x:c>
      <x:c r="N85" s="35">
        <x:f>J85-M85</x:f>
        <x:v>4</x:v>
      </x:c>
    </x:row>
    <x:row r="86" spans="1:14" customFormat="1" ht="18" customHeight="1">
      <x:c r="A86" s="15" t="s">
        <x:v>281</x:v>
      </x:c>
      <x:c r="B86" s="14" t="s">
        <x:v>143</x:v>
      </x:c>
      <x:c r="C86" s="6">
        <x:v>2</x:v>
      </x:c>
      <x:c r="D86" s="14" t="s">
        <x:v>83</x:v>
      </x:c>
      <x:c r="E86" s="7" t="s">
        <x:v>60</x:v>
      </x:c>
      <x:c r="F86" s="33">
        <x:f>'2026.9.9'!J34</x:f>
        <x:v>76</x:v>
      </x:c>
      <x:c r="G86" s="33">
        <x:f>J6*C86</x:f>
        <x:v>0</x:v>
      </x:c>
      <x:c r="H86" s="6"/>
      <x:c r="I86" s="6"/>
      <x:c r="J86" s="36">
        <x:f>F86+I86-G86-H86</x:f>
        <x:v>76</x:v>
      </x:c>
      <x:c r="K86" s="37">
        <x:f>J86/C86</x:f>
        <x:v>38</x:v>
      </x:c>
      <x:c r="L86" s="25" t="str">
        <x:f>IF(J86&lt;M86,119,"")</x:f>
        <x:v/>
      </x:c>
      <x:c r="M86" s="34">
        <x:f>R6*C86</x:f>
        <x:v>26</x:v>
      </x:c>
      <x:c r="N86" s="35">
        <x:f>J86-M86</x:f>
        <x:v>50</x:v>
      </x:c>
    </x:row>
    <x:row r="87" spans="1:14" customFormat="1" ht="18" customHeight="1">
      <x:c r="A87" s="15" t="s">
        <x:v>281</x:v>
      </x:c>
      <x:c r="B87" s="14" t="s">
        <x:v>143</x:v>
      </x:c>
      <x:c r="C87" s="6">
        <x:v>2</x:v>
      </x:c>
      <x:c r="D87" s="14" t="s">
        <x:v>41</x:v>
      </x:c>
      <x:c r="E87" s="7" t="s">
        <x:v>25</x:v>
      </x:c>
      <x:c r="F87" s="33">
        <x:f>'2026.9.9'!J35</x:f>
        <x:v>2</x:v>
      </x:c>
      <x:c r="G87" s="33">
        <x:f>J7*C87</x:f>
        <x:v>0</x:v>
      </x:c>
      <x:c r="H87" s="6"/>
      <x:c r="I87" s="6"/>
      <x:c r="J87" s="36">
        <x:f>F87+I87-G87-H87</x:f>
        <x:v>2</x:v>
      </x:c>
      <x:c r="K87" s="37">
        <x:f>J87/C87</x:f>
        <x:v>1</x:v>
      </x:c>
      <x:c r="L87" s="25" t="str">
        <x:f>IF(J87&lt;M87,119,"")</x:f>
        <x:v/>
      </x:c>
      <x:c r="M87" s="34">
        <x:f>R7*C87</x:f>
        <x:v>0</x:v>
      </x:c>
      <x:c r="N87" s="35">
        <x:f>J87-M87</x:f>
        <x:v>2</x:v>
      </x:c>
    </x:row>
    <x:row r="88" spans="1:14" customFormat="1" ht="18" customHeight="1">
      <x:c r="A88" s="15" t="s">
        <x:v>281</x:v>
      </x:c>
      <x:c r="B88" s="14" t="s">
        <x:v>143</x:v>
      </x:c>
      <x:c r="C88" s="6">
        <x:v>2</x:v>
      </x:c>
      <x:c r="D88" s="14" t="s">
        <x:v>47</x:v>
      </x:c>
      <x:c r="E88" s="7" t="s">
        <x:v>39</x:v>
      </x:c>
      <x:c r="F88" s="33">
        <x:f>'2026.9.9'!J36</x:f>
        <x:v>69</x:v>
      </x:c>
      <x:c r="G88" s="33">
        <x:f>J8*C88</x:f>
        <x:v>0</x:v>
      </x:c>
      <x:c r="H88" s="6"/>
      <x:c r="I88" s="6"/>
      <x:c r="J88" s="36">
        <x:f>F88+I88-G88-H88</x:f>
        <x:v>69</x:v>
      </x:c>
      <x:c r="K88" s="37">
        <x:f>J88/C88</x:f>
        <x:v>34.5</x:v>
      </x:c>
      <x:c r="L88" s="25" t="str">
        <x:f>IF(J88&lt;M88,119,"")</x:f>
        <x:v/>
      </x:c>
      <x:c r="M88" s="34">
        <x:f>R8*C88</x:f>
        <x:v>20</x:v>
      </x:c>
      <x:c r="N88" s="35">
        <x:f>J88-M88</x:f>
        <x:v>49</x:v>
      </x:c>
    </x:row>
    <x:row r="89" spans="1:14" customFormat="1" ht="18" customHeight="1">
      <x:c r="A89" s="15" t="s">
        <x:v>281</x:v>
      </x:c>
      <x:c r="B89" s="14" t="s">
        <x:v>143</x:v>
      </x:c>
      <x:c r="C89" s="6">
        <x:v>2</x:v>
      </x:c>
      <x:c r="D89" s="14" t="s">
        <x:v>73</x:v>
      </x:c>
      <x:c r="E89" s="7" t="s">
        <x:v>90</x:v>
      </x:c>
      <x:c r="F89" s="33">
        <x:f>'2026.9.9'!J37</x:f>
        <x:v>68</x:v>
      </x:c>
      <x:c r="G89" s="33">
        <x:f>J9*C89</x:f>
        <x:v>4</x:v>
      </x:c>
      <x:c r="H89" s="6"/>
      <x:c r="I89" s="6"/>
      <x:c r="J89" s="36">
        <x:f>F89+I89-G89-H89</x:f>
        <x:v>64</x:v>
      </x:c>
      <x:c r="K89" s="37">
        <x:f>J89/C89</x:f>
        <x:v>32</x:v>
      </x:c>
      <x:c r="L89" s="25" t="str">
        <x:f>IF(J89&lt;M89,119,"")</x:f>
        <x:v/>
      </x:c>
      <x:c r="M89" s="34">
        <x:f>R9*C89</x:f>
        <x:v>20</x:v>
      </x:c>
      <x:c r="N89" s="35">
        <x:f>J89-M89</x:f>
        <x:v>44</x:v>
      </x:c>
    </x:row>
    <x:row r="90" spans="1:14" customFormat="1" ht="18" customHeight="1">
      <x:c r="A90" s="15" t="s">
        <x:v>242</x:v>
      </x:c>
      <x:c r="B90" s="14" t="s">
        <x:v>189</x:v>
      </x:c>
      <x:c r="C90" s="6">
        <x:v>2</x:v>
      </x:c>
      <x:c r="D90" s="14" t="s">
        <x:v>11</x:v>
      </x:c>
      <x:c r="E90" s="6" t="s">
        <x:v>122</x:v>
      </x:c>
      <x:c r="F90" s="33">
        <x:f>'2026.9.9'!J38</x:f>
        <x:v>6</x:v>
      </x:c>
      <x:c r="G90" s="33">
        <x:f>SUM(H24:H25)*C90</x:f>
        <x:v>0</x:v>
      </x:c>
      <x:c r="H90" s="6"/>
      <x:c r="I90" s="6"/>
      <x:c r="J90" s="36">
        <x:f>F90+I90-G90-H90</x:f>
        <x:v>6</x:v>
      </x:c>
      <x:c r="K90" s="37">
        <x:f>J90/C90</x:f>
        <x:v>3</x:v>
      </x:c>
      <x:c r="L90" s="25" t="str">
        <x:f>IF(J90&lt;M90,119,"")</x:f>
        <x:v/>
      </x:c>
      <x:c r="M90" s="34">
        <x:f>SUM(P24:P25)*C90</x:f>
        <x:v>0</x:v>
      </x:c>
      <x:c r="N90" s="35">
        <x:f>J90-M90</x:f>
        <x:v>6</x:v>
      </x:c>
    </x:row>
    <x:row r="91" spans="1:14" ht="18" customHeight="1">
      <x:c r="A91" s="15" t="s">
        <x:v>67</x:v>
      </x:c>
      <x:c r="B91" s="14" t="s">
        <x:v>62</x:v>
      </x:c>
      <x:c r="C91" s="6">
        <x:v>4</x:v>
      </x:c>
      <x:c r="D91" s="14" t="s">
        <x:v>262</x:v>
      </x:c>
      <x:c r="E91" s="1" t="s">
        <x:v>69</x:v>
      </x:c>
      <x:c r="F91" s="33">
        <x:f>'2026.9.9'!J39</x:f>
        <x:v>304</x:v>
      </x:c>
      <x:c r="G91" s="33">
        <x:f>SUM(H4:H15)*C91</x:f>
        <x:v>0</x:v>
      </x:c>
      <x:c r="H91" s="6"/>
      <x:c r="I91" s="6"/>
      <x:c r="J91" s="36">
        <x:f>F91+I91-G91-H91</x:f>
        <x:v>304</x:v>
      </x:c>
      <x:c r="K91" s="37">
        <x:f>J91/C91</x:f>
        <x:v>76</x:v>
      </x:c>
      <x:c r="L91" s="25" t="str">
        <x:f>IF(J91&lt;M91,119,"")</x:f>
        <x:v/>
      </x:c>
      <x:c r="M91" s="34">
        <x:f>SUM(P4:P16)*C91</x:f>
        <x:v>256</x:v>
      </x:c>
      <x:c r="N91" s="35">
        <x:f>J91-M91</x:f>
        <x:v>48</x:v>
      </x:c>
    </x:row>
    <x:row r="92" spans="1:14" ht="18" customHeight="1">
      <x:c r="A92" s="15" t="s">
        <x:v>67</x:v>
      </x:c>
      <x:c r="B92" s="14" t="s">
        <x:v>62</x:v>
      </x:c>
      <x:c r="C92" s="6">
        <x:v>4</x:v>
      </x:c>
      <x:c r="D92" s="14" t="s">
        <x:v>249</x:v>
      </x:c>
      <x:c r="E92" s="1" t="s">
        <x:v>61</x:v>
      </x:c>
      <x:c r="F92" s="33">
        <x:f>'2026.9.9'!J40</x:f>
        <x:v>150</x:v>
      </x:c>
      <x:c r="G92" s="39">
        <x:f>SUM(H17:H20)*C92</x:f>
        <x:v>0</x:v>
      </x:c>
      <x:c r="J92" s="36">
        <x:f>F92+I92-G92-H92</x:f>
        <x:v>150</x:v>
      </x:c>
      <x:c r="K92" s="37">
        <x:f>J92/C92</x:f>
        <x:v>37.5</x:v>
      </x:c>
      <x:c r="L92" s="25" t="str">
        <x:f>IF(J92&lt;M92,119,"")</x:f>
        <x:v/>
      </x:c>
      <x:c r="M92" s="34">
        <x:f>SUM(P17:P20)*C92</x:f>
        <x:v>76</x:v>
      </x:c>
      <x:c r="N92" s="35">
        <x:f>J92-M92</x:f>
        <x:v>74</x:v>
      </x:c>
    </x:row>
    <x:row r="93" spans="1:14" ht="18" customHeight="1">
      <x:c r="A93" s="15" t="s">
        <x:v>67</x:v>
      </x:c>
      <x:c r="B93" s="14" t="s">
        <x:v>62</x:v>
      </x:c>
      <x:c r="C93" s="6">
        <x:v>4</x:v>
      </x:c>
      <x:c r="D93" s="14" t="s">
        <x:v>70</x:v>
      </x:c>
      <x:c r="E93" s="7" t="s">
        <x:v>26</x:v>
      </x:c>
      <x:c r="F93" s="33">
        <x:f>'2026.9.9'!J41</x:f>
        <x:v>262</x:v>
      </x:c>
      <x:c r="G93" s="39">
        <x:f>H21*C93</x:f>
        <x:v>0</x:v>
      </x:c>
      <x:c r="J93" s="36">
        <x:f>F93+I93-G93-H93</x:f>
        <x:v>262</x:v>
      </x:c>
      <x:c r="K93" s="37">
        <x:f>J93/C93</x:f>
        <x:v>65.5</x:v>
      </x:c>
      <x:c r="L93" s="25" t="str">
        <x:f>IF(J93&lt;M93,119,"")</x:f>
        <x:v/>
      </x:c>
      <x:c r="M93" s="34">
        <x:f>P21*C93</x:f>
        <x:v>68</x:v>
      </x:c>
      <x:c r="N93" s="35">
        <x:f>J93-M93</x:f>
        <x:v>194</x:v>
      </x:c>
    </x:row>
    <x:row r="94" spans="1:14" customFormat="1" ht="18" customHeight="1">
      <x:c r="A94" s="15" t="s">
        <x:v>67</x:v>
      </x:c>
      <x:c r="B94" s="14" t="s">
        <x:v>62</x:v>
      </x:c>
      <x:c r="C94" s="6">
        <x:v>4</x:v>
      </x:c>
      <x:c r="D94" s="14" t="s">
        <x:v>244</x:v>
      </x:c>
      <x:c r="E94" s="6" t="s">
        <x:v>121</x:v>
      </x:c>
      <x:c r="F94" s="33">
        <x:f>'2026.9.9'!J42</x:f>
        <x:v>6</x:v>
      </x:c>
      <x:c r="G94" s="39">
        <x:f>H22*C94</x:f>
        <x:v>0</x:v>
      </x:c>
      <x:c r="H94" s="1"/>
      <x:c r="I94" s="1"/>
      <x:c r="J94" s="36">
        <x:f>F94+I94-G94-H94</x:f>
        <x:v>6</x:v>
      </x:c>
      <x:c r="K94" s="37">
        <x:f>J94/C94</x:f>
        <x:v>1.5</x:v>
      </x:c>
      <x:c r="L94" s="25" t="str">
        <x:f>IF(J94&lt;M94,119,"")</x:f>
        <x:v/>
      </x:c>
      <x:c r="M94" s="34">
        <x:f>P22*C94</x:f>
        <x:v>0</x:v>
      </x:c>
      <x:c r="N94" s="35">
        <x:f>J94-M94</x:f>
        <x:v>6</x:v>
      </x:c>
    </x:row>
    <x:row r="95" spans="1:14" customFormat="1" ht="18" customHeight="1">
      <x:c r="A95" s="15" t="s">
        <x:v>67</x:v>
      </x:c>
      <x:c r="B95" s="14" t="s">
        <x:v>62</x:v>
      </x:c>
      <x:c r="C95" s="6">
        <x:v>4</x:v>
      </x:c>
      <x:c r="D95" s="14" t="s">
        <x:v>247</x:v>
      </x:c>
      <x:c r="E95" s="6" t="s">
        <x:v>117</x:v>
      </x:c>
      <x:c r="F95" s="33">
        <x:f>'2026.9.9'!J43</x:f>
        <x:v>6</x:v>
      </x:c>
      <x:c r="G95" s="39">
        <x:f>H23*C95</x:f>
        <x:v>0</x:v>
      </x:c>
      <x:c r="H95" s="1"/>
      <x:c r="I95" s="1"/>
      <x:c r="J95" s="36">
        <x:f>F95+I95-G95-H95</x:f>
        <x:v>6</x:v>
      </x:c>
      <x:c r="K95" s="37">
        <x:f>J95/C95</x:f>
        <x:v>1.5</x:v>
      </x:c>
      <x:c r="L95" s="25" t="str">
        <x:f>IF(J95&lt;M95,119,"")</x:f>
        <x:v/>
      </x:c>
      <x:c r="M95" s="34">
        <x:f>P23*C95</x:f>
        <x:v>0</x:v>
      </x:c>
      <x:c r="N95" s="35">
        <x:f>J95-M95</x:f>
        <x:v>6</x:v>
      </x:c>
    </x:row>
    <x:row r="96" spans="1:14" customFormat="1" ht="18" customHeight="1">
      <x:c r="A96" s="15" t="s">
        <x:v>67</x:v>
      </x:c>
      <x:c r="B96" s="14" t="s">
        <x:v>62</x:v>
      </x:c>
      <x:c r="C96" s="6">
        <x:v>2</x:v>
      </x:c>
      <x:c r="D96" s="14" t="s">
        <x:v>22</x:v>
      </x:c>
      <x:c r="E96" s="6" t="s">
        <x:v>93</x:v>
      </x:c>
      <x:c r="F96" s="33">
        <x:f>'2026.9.9'!J44</x:f>
        <x:v>0</x:v>
      </x:c>
      <x:c r="G96" s="39">
        <x:f>H24*C96</x:f>
        <x:v>0</x:v>
      </x:c>
      <x:c r="H96" s="1"/>
      <x:c r="I96" s="1"/>
      <x:c r="J96" s="36">
        <x:f>F96+I96-G96-H96</x:f>
        <x:v>0</x:v>
      </x:c>
      <x:c r="K96" s="37">
        <x:f>J96/C96</x:f>
        <x:v>0</x:v>
      </x:c>
      <x:c r="L96" s="25" t="str">
        <x:f>IF(J96&lt;M96,119,"")</x:f>
        <x:v/>
      </x:c>
      <x:c r="M96" s="34">
        <x:f>P24*C96</x:f>
        <x:v>0</x:v>
      </x:c>
      <x:c r="N96" s="35">
        <x:f>J96-M96</x:f>
        <x:v>0</x:v>
      </x:c>
    </x:row>
    <x:row r="97" spans="1:14" customFormat="1" ht="18" customHeight="1">
      <x:c r="A97" s="15" t="s">
        <x:v>67</x:v>
      </x:c>
      <x:c r="B97" s="14" t="s">
        <x:v>62</x:v>
      </x:c>
      <x:c r="C97" s="6">
        <x:v>2</x:v>
      </x:c>
      <x:c r="D97" s="14" t="s">
        <x:v>96</x:v>
      </x:c>
      <x:c r="E97" s="6" t="s">
        <x:v>102</x:v>
      </x:c>
      <x:c r="F97" s="33">
        <x:f>'2026.9.9'!J45</x:f>
        <x:v>4</x:v>
      </x:c>
      <x:c r="G97" s="39">
        <x:f>H25*C97</x:f>
        <x:v>0</x:v>
      </x:c>
      <x:c r="H97" s="1"/>
      <x:c r="I97" s="1"/>
      <x:c r="J97" s="36">
        <x:f>F97+I97-G97-H97</x:f>
        <x:v>4</x:v>
      </x:c>
      <x:c r="K97" s="37">
        <x:f>J97/C97</x:f>
        <x:v>2</x:v>
      </x:c>
      <x:c r="L97" s="25" t="str">
        <x:f>IF(J97&lt;M97,119,"")</x:f>
        <x:v/>
      </x:c>
      <x:c r="M97" s="34">
        <x:f>P25*C97</x:f>
        <x:v>0</x:v>
      </x:c>
      <x:c r="N97" s="35">
        <x:f>J97-M97</x:f>
        <x:v>4</x:v>
      </x:c>
    </x:row>
    <x:row r="98" spans="1:14" ht="18" customHeight="1">
      <x:c r="A98" s="15" t="s">
        <x:v>67</x:v>
      </x:c>
      <x:c r="B98" s="14" t="s">
        <x:v>62</x:v>
      </x:c>
      <x:c r="C98" s="1">
        <x:v>4</x:v>
      </x:c>
      <x:c r="D98" s="14" t="s">
        <x:v>83</x:v>
      </x:c>
      <x:c r="E98" s="7" t="s">
        <x:v>61</x:v>
      </x:c>
      <x:c r="F98" s="33">
        <x:f>'2026.9.9'!J46</x:f>
        <x:v>206</x:v>
      </x:c>
      <x:c r="G98" s="39">
        <x:f>J6*C98</x:f>
        <x:v>0</x:v>
      </x:c>
      <x:c r="J98" s="36">
        <x:f>F98+I98-G98-H98</x:f>
        <x:v>206</x:v>
      </x:c>
      <x:c r="K98" s="37">
        <x:f>J98/C98</x:f>
        <x:v>51.5</x:v>
      </x:c>
      <x:c r="L98" s="25" t="str">
        <x:f>IF(J98&lt;M98,119,"")</x:f>
        <x:v/>
      </x:c>
      <x:c r="M98" s="34">
        <x:f>SUM(R6)*C98</x:f>
        <x:v>52</x:v>
      </x:c>
      <x:c r="N98" s="35">
        <x:f>J98-M98</x:f>
        <x:v>154</x:v>
      </x:c>
    </x:row>
    <x:row r="99" spans="1:14" ht="18" customHeight="1">
      <x:c r="A99" s="15" t="s">
        <x:v>67</x:v>
      </x:c>
      <x:c r="B99" s="14" t="s">
        <x:v>62</x:v>
      </x:c>
      <x:c r="C99" s="1">
        <x:v>4</x:v>
      </x:c>
      <x:c r="D99" s="14" t="s">
        <x:v>41</x:v>
      </x:c>
      <x:c r="E99" s="7" t="s">
        <x:v>50</x:v>
      </x:c>
      <x:c r="F99" s="33">
        <x:f>'2026.9.9'!J47</x:f>
        <x:v>0</x:v>
      </x:c>
      <x:c r="G99" s="39">
        <x:f>J7*C99</x:f>
        <x:v>0</x:v>
      </x:c>
      <x:c r="J99" s="36">
        <x:f>F99+I99-G99-H99</x:f>
        <x:v>0</x:v>
      </x:c>
      <x:c r="K99" s="37">
        <x:f>J99/C99</x:f>
        <x:v>0</x:v>
      </x:c>
      <x:c r="L99" s="25" t="str">
        <x:f>IF(J99&lt;M99,119,"")</x:f>
        <x:v/>
      </x:c>
      <x:c r="M99" s="34">
        <x:f>SUM(R7)*C99</x:f>
        <x:v>0</x:v>
      </x:c>
      <x:c r="N99" s="35">
        <x:f>J99-M99</x:f>
        <x:v>0</x:v>
      </x:c>
    </x:row>
    <x:row r="100" spans="1:14" ht="18" customHeight="1">
      <x:c r="A100" s="15" t="s">
        <x:v>67</x:v>
      </x:c>
      <x:c r="B100" s="14" t="s">
        <x:v>62</x:v>
      </x:c>
      <x:c r="C100" s="1">
        <x:v>4</x:v>
      </x:c>
      <x:c r="D100" s="14" t="s">
        <x:v>19</x:v>
      </x:c>
      <x:c r="E100" s="7" t="s">
        <x:v>74</x:v>
      </x:c>
      <x:c r="F100" s="33">
        <x:f>'2026.9.9'!J48</x:f>
        <x:v>300</x:v>
      </x:c>
      <x:c r="G100" s="39">
        <x:f>SUM(J8:J9)*C100</x:f>
        <x:v>8</x:v>
      </x:c>
      <x:c r="J100" s="36">
        <x:f>F100+I100-G100-H100</x:f>
        <x:v>292</x:v>
      </x:c>
      <x:c r="K100" s="37">
        <x:f>J100/C100</x:f>
        <x:v>73</x:v>
      </x:c>
      <x:c r="L100" s="25" t="str">
        <x:f>IF(J100&lt;M100,119,"")</x:f>
        <x:v/>
      </x:c>
      <x:c r="M100" s="34">
        <x:f>SUM(R8:R9)*C100</x:f>
        <x:v>80</x:v>
      </x:c>
      <x:c r="N100" s="35">
        <x:f>J100-M100</x:f>
        <x:v>212</x:v>
      </x:c>
    </x:row>
    <x:row r="101" spans="1:14" customFormat="1" ht="18" customHeight="1">
      <x:c r="A101" s="15" t="s">
        <x:v>243</x:v>
      </x:c>
      <x:c r="B101" s="14" t="s">
        <x:v>62</x:v>
      </x:c>
      <x:c r="C101" s="6">
        <x:v>8</x:v>
      </x:c>
      <x:c r="D101" s="14" t="s">
        <x:v>262</x:v>
      </x:c>
      <x:c r="E101" s="1" t="s">
        <x:v>69</x:v>
      </x:c>
      <x:c r="F101" s="33">
        <x:f>'2026.9.9'!J49</x:f>
        <x:v>612</x:v>
      </x:c>
      <x:c r="G101" s="33">
        <x:f>SUM(H4:H15)*C101</x:f>
        <x:v>0</x:v>
      </x:c>
      <x:c r="H101" s="6"/>
      <x:c r="I101" s="6"/>
      <x:c r="J101" s="36">
        <x:f>F101+I101-G101-H101</x:f>
        <x:v>612</x:v>
      </x:c>
      <x:c r="K101" s="37">
        <x:f>J101/C101</x:f>
        <x:v>76.5</x:v>
      </x:c>
      <x:c r="L101" s="25" t="str">
        <x:f>IF(J101&lt;M101,119,"")</x:f>
        <x:v/>
      </x:c>
      <x:c r="M101" s="34">
        <x:f>SUM(P4:P16)*C101</x:f>
        <x:v>512</x:v>
      </x:c>
      <x:c r="N101" s="35">
        <x:f>J101-M101</x:f>
        <x:v>100</x:v>
      </x:c>
    </x:row>
    <x:row r="102" spans="1:14" customFormat="1" ht="18" customHeight="1">
      <x:c r="A102" s="15" t="s">
        <x:v>243</x:v>
      </x:c>
      <x:c r="B102" s="14" t="s">
        <x:v>62</x:v>
      </x:c>
      <x:c r="C102" s="6">
        <x:v>8</x:v>
      </x:c>
      <x:c r="D102" s="14" t="s">
        <x:v>249</x:v>
      </x:c>
      <x:c r="E102" s="1" t="s">
        <x:v>61</x:v>
      </x:c>
      <x:c r="F102" s="33">
        <x:f>'2026.9.9'!J50</x:f>
        <x:v>246</x:v>
      </x:c>
      <x:c r="G102" s="39">
        <x:f>SUM(H17:H20)*C102</x:f>
        <x:v>0</x:v>
      </x:c>
      <x:c r="H102" s="1"/>
      <x:c r="I102" s="1"/>
      <x:c r="J102" s="36">
        <x:f>F102+I102-G102-H102</x:f>
        <x:v>246</x:v>
      </x:c>
      <x:c r="K102" s="37">
        <x:f>J102/C102</x:f>
        <x:v>30.75</x:v>
      </x:c>
      <x:c r="L102" s="25" t="str">
        <x:f>IF(J102&lt;M102,119,"")</x:f>
        <x:v/>
      </x:c>
      <x:c r="M102" s="34">
        <x:f>SUM(P17:P20)*C101</x:f>
        <x:v>152</x:v>
      </x:c>
      <x:c r="N102" s="35">
        <x:f>J102-M102</x:f>
        <x:v>94</x:v>
      </x:c>
    </x:row>
    <x:row r="103" spans="1:14" customFormat="1" ht="18" customHeight="1">
      <x:c r="A103" s="15" t="s">
        <x:v>243</x:v>
      </x:c>
      <x:c r="B103" s="14" t="s">
        <x:v>62</x:v>
      </x:c>
      <x:c r="C103" s="6">
        <x:v>8</x:v>
      </x:c>
      <x:c r="D103" s="14" t="s">
        <x:v>70</x:v>
      </x:c>
      <x:c r="E103" s="7" t="s">
        <x:v>26</x:v>
      </x:c>
      <x:c r="F103" s="33">
        <x:f>'2026.9.9'!J51</x:f>
        <x:v>530</x:v>
      </x:c>
      <x:c r="G103" s="39">
        <x:f>H21*C103</x:f>
        <x:v>0</x:v>
      </x:c>
      <x:c r="H103" s="1"/>
      <x:c r="I103" s="1"/>
      <x:c r="J103" s="36">
        <x:f>F103+I103-G103-H103</x:f>
        <x:v>530</x:v>
      </x:c>
      <x:c r="K103" s="37">
        <x:f>J103/C103</x:f>
        <x:v>66.25</x:v>
      </x:c>
      <x:c r="L103" s="25" t="str">
        <x:f>IF(J103&lt;M102,119,"")</x:f>
        <x:v/>
      </x:c>
      <x:c r="M103" s="34">
        <x:f>P21*C103</x:f>
        <x:v>136</x:v>
      </x:c>
      <x:c r="N103" s="35">
        <x:f>J103-M103</x:f>
        <x:v>394</x:v>
      </x:c>
    </x:row>
    <x:row r="104" spans="1:14" customFormat="1" ht="18" customHeight="1">
      <x:c r="A104" s="15" t="s">
        <x:v>243</x:v>
      </x:c>
      <x:c r="B104" s="14" t="s">
        <x:v>62</x:v>
      </x:c>
      <x:c r="C104" s="6">
        <x:v>5</x:v>
      </x:c>
      <x:c r="D104" s="14" t="s">
        <x:v>244</x:v>
      </x:c>
      <x:c r="E104" s="6" t="s">
        <x:v>78</x:v>
      </x:c>
      <x:c r="F104" s="33">
        <x:f>'2026.9.9'!J52</x:f>
        <x:v>10</x:v>
      </x:c>
      <x:c r="G104" s="39">
        <x:f>SUM(H22)*C104</x:f>
        <x:v>0</x:v>
      </x:c>
      <x:c r="H104" s="1"/>
      <x:c r="I104" s="1"/>
      <x:c r="J104" s="36">
        <x:f>F104+I104-G104-H104</x:f>
        <x:v>10</x:v>
      </x:c>
      <x:c r="K104" s="37">
        <x:f>J104/C104</x:f>
        <x:v>2</x:v>
      </x:c>
      <x:c r="L104" s="25" t="str">
        <x:f>IF(J104&lt;M104,119,"")</x:f>
        <x:v/>
      </x:c>
      <x:c r="M104" s="34">
        <x:f>P22*C104</x:f>
        <x:v>0</x:v>
      </x:c>
      <x:c r="N104" s="35">
        <x:f>J104-M104</x:f>
        <x:v>10</x:v>
      </x:c>
    </x:row>
    <x:row r="105" spans="1:14" customFormat="1" ht="18" customHeight="1">
      <x:c r="A105" s="15" t="s">
        <x:v>243</x:v>
      </x:c>
      <x:c r="B105" s="14" t="s">
        <x:v>62</x:v>
      </x:c>
      <x:c r="C105" s="6">
        <x:v>5</x:v>
      </x:c>
      <x:c r="D105" s="14" t="s">
        <x:v>247</x:v>
      </x:c>
      <x:c r="E105" s="6" t="s">
        <x:v>72</x:v>
      </x:c>
      <x:c r="F105" s="33">
        <x:f>'2026.9.9'!J53</x:f>
        <x:v>10</x:v>
      </x:c>
      <x:c r="G105" s="39">
        <x:f>SUM(H23)*C105</x:f>
        <x:v>0</x:v>
      </x:c>
      <x:c r="H105" s="1"/>
      <x:c r="I105" s="1"/>
      <x:c r="J105" s="36">
        <x:f>F105+I105-G105-H105</x:f>
        <x:v>10</x:v>
      </x:c>
      <x:c r="K105" s="37">
        <x:f>J105/C105</x:f>
        <x:v>2</x:v>
      </x:c>
      <x:c r="L105" s="25" t="str">
        <x:f>IF(J105&lt;M105,119,"")</x:f>
        <x:v/>
      </x:c>
      <x:c r="M105" s="34">
        <x:f>P23*C105</x:f>
        <x:v>0</x:v>
      </x:c>
      <x:c r="N105" s="35">
        <x:f>J105-M105</x:f>
        <x:v>10</x:v>
      </x:c>
    </x:row>
    <x:row r="106" spans="1:14" customFormat="1" ht="18" customHeight="1">
      <x:c r="A106" s="15" t="s">
        <x:v>243</x:v>
      </x:c>
      <x:c r="B106" s="14" t="s">
        <x:v>62</x:v>
      </x:c>
      <x:c r="C106" s="6">
        <x:v>8</x:v>
      </x:c>
      <x:c r="D106" s="14" t="s">
        <x:v>22</x:v>
      </x:c>
      <x:c r="E106" s="6" t="s">
        <x:v>93</x:v>
      </x:c>
      <x:c r="F106" s="33">
        <x:f>'2026.9.9'!J54</x:f>
        <x:v>0</x:v>
      </x:c>
      <x:c r="G106" s="39">
        <x:f>SUM(H24)*C106</x:f>
        <x:v>0</x:v>
      </x:c>
      <x:c r="H106" s="1"/>
      <x:c r="I106" s="1"/>
      <x:c r="J106" s="36">
        <x:f>F106+I106-G106-H106</x:f>
        <x:v>0</x:v>
      </x:c>
      <x:c r="K106" s="37">
        <x:f>J106/C106</x:f>
        <x:v>0</x:v>
      </x:c>
      <x:c r="L106" s="25" t="str">
        <x:f>IF(J106&lt;M106,119,"")</x:f>
        <x:v/>
      </x:c>
      <x:c r="M106" s="34">
        <x:f>P24*C106</x:f>
        <x:v>0</x:v>
      </x:c>
      <x:c r="N106" s="35">
        <x:f>J106-M106</x:f>
        <x:v>0</x:v>
      </x:c>
    </x:row>
    <x:row r="107" spans="1:14" customFormat="1" ht="18" customHeight="1">
      <x:c r="A107" s="15" t="s">
        <x:v>243</x:v>
      </x:c>
      <x:c r="B107" s="14" t="s">
        <x:v>62</x:v>
      </x:c>
      <x:c r="C107" s="6">
        <x:v>8</x:v>
      </x:c>
      <x:c r="D107" s="14" t="s">
        <x:v>96</x:v>
      </x:c>
      <x:c r="E107" s="6" t="s">
        <x:v>102</x:v>
      </x:c>
      <x:c r="F107" s="33">
        <x:f>'2026.9.9'!J55</x:f>
        <x:v>16</x:v>
      </x:c>
      <x:c r="G107" s="39">
        <x:f>SUM(H25)*C107</x:f>
        <x:v>0</x:v>
      </x:c>
      <x:c r="H107" s="1"/>
      <x:c r="I107" s="1"/>
      <x:c r="J107" s="36">
        <x:f>F107+I107-G107-H107</x:f>
        <x:v>16</x:v>
      </x:c>
      <x:c r="K107" s="37">
        <x:f>J107/C107</x:f>
        <x:v>2</x:v>
      </x:c>
      <x:c r="L107" s="25" t="str">
        <x:f>IF(J107&lt;M107,119,"")</x:f>
        <x:v/>
      </x:c>
      <x:c r="M107" s="34">
        <x:f>P25*C107</x:f>
        <x:v>0</x:v>
      </x:c>
      <x:c r="N107" s="35">
        <x:f>J107-M107</x:f>
        <x:v>16</x:v>
      </x:c>
    </x:row>
    <x:row r="108" spans="1:14" customFormat="1" ht="18" customHeight="1">
      <x:c r="A108" s="15" t="s">
        <x:v>243</x:v>
      </x:c>
      <x:c r="B108" s="14" t="s">
        <x:v>62</x:v>
      </x:c>
      <x:c r="C108" s="1">
        <x:v>5</x:v>
      </x:c>
      <x:c r="D108" s="14" t="s">
        <x:v>83</x:v>
      </x:c>
      <x:c r="E108" s="7" t="s">
        <x:v>82</x:v>
      </x:c>
      <x:c r="F108" s="33">
        <x:f>'2026.9.9'!J56</x:f>
        <x:v>180</x:v>
      </x:c>
      <x:c r="G108" s="39">
        <x:f>J6*C108</x:f>
        <x:v>0</x:v>
      </x:c>
      <x:c r="H108" s="1"/>
      <x:c r="I108" s="1"/>
      <x:c r="J108" s="36">
        <x:f>F108+I108-G108-H108</x:f>
        <x:v>180</x:v>
      </x:c>
      <x:c r="K108" s="37">
        <x:f>J108/C108</x:f>
        <x:v>36</x:v>
      </x:c>
      <x:c r="L108" s="25" t="str">
        <x:f>IF(J108&lt;M108,119,"")</x:f>
        <x:v/>
      </x:c>
      <x:c r="M108" s="34">
        <x:f>R6*C108</x:f>
        <x:v>65</x:v>
      </x:c>
      <x:c r="N108" s="35">
        <x:f>J108-M108</x:f>
        <x:v>115</x:v>
      </x:c>
    </x:row>
    <x:row r="109" spans="1:14" customFormat="1" ht="18" customHeight="1">
      <x:c r="A109" s="15" t="s">
        <x:v>243</x:v>
      </x:c>
      <x:c r="B109" s="14" t="s">
        <x:v>62</x:v>
      </x:c>
      <x:c r="C109" s="1">
        <x:v>5</x:v>
      </x:c>
      <x:c r="D109" s="14" t="s">
        <x:v>41</x:v>
      </x:c>
      <x:c r="E109" s="7" t="s">
        <x:v>48</x:v>
      </x:c>
      <x:c r="F109" s="33">
        <x:f>'2026.9.9'!J57</x:f>
        <x:v>5</x:v>
      </x:c>
      <x:c r="G109" s="39">
        <x:f>J7*C109</x:f>
        <x:v>0</x:v>
      </x:c>
      <x:c r="H109" s="1"/>
      <x:c r="I109" s="1"/>
      <x:c r="J109" s="36">
        <x:f>F109+I109-G109-H109</x:f>
        <x:v>5</x:v>
      </x:c>
      <x:c r="K109" s="37">
        <x:f>J109/C109</x:f>
        <x:v>1</x:v>
      </x:c>
      <x:c r="L109" s="25" t="str">
        <x:f>IF(J109&lt;M109,119,"")</x:f>
        <x:v/>
      </x:c>
      <x:c r="M109" s="34">
        <x:f>R7*C109</x:f>
        <x:v>0</x:v>
      </x:c>
      <x:c r="N109" s="35">
        <x:f>J109-M109</x:f>
        <x:v>5</x:v>
      </x:c>
    </x:row>
    <x:row r="110" spans="1:14" customFormat="1" ht="18" customHeight="1">
      <x:c r="A110" s="15" t="s">
        <x:v>243</x:v>
      </x:c>
      <x:c r="B110" s="14" t="s">
        <x:v>62</x:v>
      </x:c>
      <x:c r="C110" s="1">
        <x:v>5</x:v>
      </x:c>
      <x:c r="D110" s="14" t="s">
        <x:v>19</x:v>
      </x:c>
      <x:c r="E110" s="7" t="s">
        <x:v>97</x:v>
      </x:c>
      <x:c r="F110" s="33">
        <x:f>'2026.9.9'!J58</x:f>
        <x:v>355</x:v>
      </x:c>
      <x:c r="G110" s="39">
        <x:f>J9*C110</x:f>
        <x:v>10</x:v>
      </x:c>
      <x:c r="H110" s="1"/>
      <x:c r="I110" s="1"/>
      <x:c r="J110" s="36">
        <x:f>F110+I110-G110-H110</x:f>
        <x:v>345</x:v>
      </x:c>
      <x:c r="K110" s="37">
        <x:f>J110/C110</x:f>
        <x:v>69</x:v>
      </x:c>
      <x:c r="L110" s="25" t="str">
        <x:f>IF(J110&lt;M110,119,"")</x:f>
        <x:v/>
      </x:c>
      <x:c r="M110" s="34">
        <x:f>SUM(R8:R9)*C110</x:f>
        <x:v>100</x:v>
      </x:c>
      <x:c r="N110" s="35">
        <x:f>J110-M110</x:f>
        <x:v>245</x:v>
      </x:c>
    </x:row>
    <x:row r="111" spans="1:14" customFormat="1" ht="18" customHeight="1">
      <x:c r="A111" s="15" t="s">
        <x:v>38</x:v>
      </x:c>
      <x:c r="B111" s="14" t="s">
        <x:v>156</x:v>
      </x:c>
      <x:c r="C111" s="6">
        <x:v>2</x:v>
      </x:c>
      <x:c r="D111" s="14" t="s">
        <x:v>262</x:v>
      </x:c>
      <x:c r="E111" s="1" t="s">
        <x:v>120</x:v>
      </x:c>
      <x:c r="F111" s="33">
        <x:f>'2026.9.9'!J59</x:f>
        <x:v>79</x:v>
      </x:c>
      <x:c r="G111" s="33">
        <x:f>SUM(H4:H15)*C111</x:f>
        <x:v>0</x:v>
      </x:c>
      <x:c r="H111" s="6"/>
      <x:c r="I111" s="6"/>
      <x:c r="J111" s="36">
        <x:f>F111+I111-G111-H111</x:f>
        <x:v>79</x:v>
      </x:c>
      <x:c r="K111" s="37">
        <x:f>J111/C111</x:f>
        <x:v>39.5</x:v>
      </x:c>
      <x:c r="L111" s="25">
        <x:f>IF(J111&lt;M111,119,"")</x:f>
        <x:v>119</x:v>
      </x:c>
      <x:c r="M111" s="34">
        <x:f>SUM(P4:P16)*C111</x:f>
        <x:v>128</x:v>
      </x:c>
      <x:c r="N111" s="35">
        <x:f>J111-M111</x:f>
        <x:v>-49</x:v>
      </x:c>
    </x:row>
    <x:row r="112" spans="1:14" customFormat="1" ht="18" customHeight="1">
      <x:c r="A112" s="15" t="s">
        <x:v>38</x:v>
      </x:c>
      <x:c r="B112" s="14" t="s">
        <x:v>156</x:v>
      </x:c>
      <x:c r="C112" s="6">
        <x:v>2</x:v>
      </x:c>
      <x:c r="D112" s="14" t="s">
        <x:v>249</x:v>
      </x:c>
      <x:c r="E112" s="1" t="s">
        <x:v>64</x:v>
      </x:c>
      <x:c r="F112" s="33">
        <x:f>'2026.9.9'!J60</x:f>
        <x:v>116</x:v>
      </x:c>
      <x:c r="G112" s="39">
        <x:f>SUM(H17:H20)*C112</x:f>
        <x:v>0</x:v>
      </x:c>
      <x:c r="H112" s="1"/>
      <x:c r="I112" s="1"/>
      <x:c r="J112" s="36">
        <x:f>F112+I112-G112-H112</x:f>
        <x:v>116</x:v>
      </x:c>
      <x:c r="K112" s="37">
        <x:f>J112/C112</x:f>
        <x:v>58</x:v>
      </x:c>
      <x:c r="L112" s="25" t="str">
        <x:f>IF(J112&lt;M112,119,"")</x:f>
        <x:v/>
      </x:c>
      <x:c r="M112" s="34">
        <x:f>SUM(P17:P20)*C112</x:f>
        <x:v>38</x:v>
      </x:c>
      <x:c r="N112" s="35">
        <x:f>J112-M112</x:f>
        <x:v>78</x:v>
      </x:c>
    </x:row>
    <x:row r="113" spans="1:14" customFormat="1" ht="18" customHeight="1">
      <x:c r="A113" s="15" t="s">
        <x:v>38</x:v>
      </x:c>
      <x:c r="B113" s="14" t="s">
        <x:v>156</x:v>
      </x:c>
      <x:c r="C113" s="6">
        <x:v>2</x:v>
      </x:c>
      <x:c r="D113" s="14" t="s">
        <x:v>70</x:v>
      </x:c>
      <x:c r="E113" s="7" t="s">
        <x:v>63</x:v>
      </x:c>
      <x:c r="F113" s="33">
        <x:f>'2026.9.9'!J61</x:f>
        <x:v>70</x:v>
      </x:c>
      <x:c r="G113" s="39">
        <x:f>H21*C113</x:f>
        <x:v>0</x:v>
      </x:c>
      <x:c r="H113" s="1"/>
      <x:c r="I113" s="1"/>
      <x:c r="J113" s="36">
        <x:f>F113+I113-G113-H113</x:f>
        <x:v>70</x:v>
      </x:c>
      <x:c r="K113" s="37">
        <x:f>J113/C113</x:f>
        <x:v>35</x:v>
      </x:c>
      <x:c r="L113" s="25" t="str">
        <x:f>IF(J113&lt;M113,119,"")</x:f>
        <x:v/>
      </x:c>
      <x:c r="M113" s="34">
        <x:f>P21*C113</x:f>
        <x:v>34</x:v>
      </x:c>
      <x:c r="N113" s="35">
        <x:f>J113-M113</x:f>
        <x:v>36</x:v>
      </x:c>
    </x:row>
    <x:row r="114" spans="1:14" customFormat="1" ht="18" customHeight="1">
      <x:c r="A114" s="15" t="s">
        <x:v>38</x:v>
      </x:c>
      <x:c r="B114" s="14" t="s">
        <x:v>156</x:v>
      </x:c>
      <x:c r="C114" s="6">
        <x:v>2</x:v>
      </x:c>
      <x:c r="D114" s="14" t="s">
        <x:v>244</x:v>
      </x:c>
      <x:c r="E114" s="6" t="s">
        <x:v>108</x:v>
      </x:c>
      <x:c r="F114" s="33">
        <x:f>'2026.9.9'!J62</x:f>
        <x:v>0</x:v>
      </x:c>
      <x:c r="G114" s="39">
        <x:f>H22*C114</x:f>
        <x:v>0</x:v>
      </x:c>
      <x:c r="H114" s="1"/>
      <x:c r="I114" s="1"/>
      <x:c r="J114" s="36">
        <x:f>F114+I114-G114-H114</x:f>
        <x:v>0</x:v>
      </x:c>
      <x:c r="K114" s="37">
        <x:f>J114/C114</x:f>
        <x:v>0</x:v>
      </x:c>
      <x:c r="L114" s="25" t="str">
        <x:f>IF(J114&lt;M114,119,"")</x:f>
        <x:v/>
      </x:c>
      <x:c r="M114" s="34">
        <x:f>P22*C114</x:f>
        <x:v>0</x:v>
      </x:c>
      <x:c r="N114" s="35">
        <x:f>J114-M114</x:f>
        <x:v>0</x:v>
      </x:c>
    </x:row>
    <x:row r="115" spans="1:14" customFormat="1" ht="18" customHeight="1">
      <x:c r="A115" s="15" t="s">
        <x:v>38</x:v>
      </x:c>
      <x:c r="B115" s="14" t="s">
        <x:v>156</x:v>
      </x:c>
      <x:c r="C115" s="6">
        <x:v>2</x:v>
      </x:c>
      <x:c r="D115" s="14" t="s">
        <x:v>247</x:v>
      </x:c>
      <x:c r="E115" s="6" t="s">
        <x:v>88</x:v>
      </x:c>
      <x:c r="F115" s="33">
        <x:f>'2026.9.9'!J63</x:f>
        <x:v>0</x:v>
      </x:c>
      <x:c r="G115" s="39">
        <x:f>H23*C115</x:f>
        <x:v>0</x:v>
      </x:c>
      <x:c r="H115" s="1"/>
      <x:c r="I115" s="1"/>
      <x:c r="J115" s="36">
        <x:f>F115+I115-G115-H115</x:f>
        <x:v>0</x:v>
      </x:c>
      <x:c r="K115" s="37">
        <x:f>J115/C115</x:f>
        <x:v>0</x:v>
      </x:c>
      <x:c r="L115" s="25" t="str">
        <x:f>IF(J115&lt;M115,119,"")</x:f>
        <x:v/>
      </x:c>
      <x:c r="M115" s="34">
        <x:f>P23*C115</x:f>
        <x:v>0</x:v>
      </x:c>
      <x:c r="N115" s="35">
        <x:f>J115-M115</x:f>
        <x:v>0</x:v>
      </x:c>
    </x:row>
    <x:row r="116" spans="1:14" customFormat="1" ht="18" customHeight="1">
      <x:c r="A116" s="15" t="s">
        <x:v>38</x:v>
      </x:c>
      <x:c r="B116" s="14" t="s">
        <x:v>156</x:v>
      </x:c>
      <x:c r="C116" s="6">
        <x:v>2</x:v>
      </x:c>
      <x:c r="D116" s="14" t="s">
        <x:v>22</x:v>
      </x:c>
      <x:c r="E116" s="6" t="s">
        <x:v>99</x:v>
      </x:c>
      <x:c r="F116" s="33">
        <x:f>'2026.9.9'!J64</x:f>
        <x:v>0</x:v>
      </x:c>
      <x:c r="G116" s="39">
        <x:f>H24*C116</x:f>
        <x:v>0</x:v>
      </x:c>
      <x:c r="H116" s="1"/>
      <x:c r="I116" s="1"/>
      <x:c r="J116" s="36">
        <x:f>F116+I116-G116-H116</x:f>
        <x:v>0</x:v>
      </x:c>
      <x:c r="K116" s="37">
        <x:f>J116/C116</x:f>
        <x:v>0</x:v>
      </x:c>
      <x:c r="L116" s="25" t="str">
        <x:f>IF(J116&lt;M116,119,"")</x:f>
        <x:v/>
      </x:c>
      <x:c r="M116" s="34">
        <x:f>P24*C116</x:f>
        <x:v>0</x:v>
      </x:c>
      <x:c r="N116" s="35">
        <x:f>J116-M116</x:f>
        <x:v>0</x:v>
      </x:c>
    </x:row>
    <x:row r="117" spans="1:14" customFormat="1" ht="18" customHeight="1">
      <x:c r="A117" s="15" t="s">
        <x:v>38</x:v>
      </x:c>
      <x:c r="B117" s="14" t="s">
        <x:v>156</x:v>
      </x:c>
      <x:c r="C117" s="6">
        <x:v>2</x:v>
      </x:c>
      <x:c r="D117" s="14" t="s">
        <x:v>96</x:v>
      </x:c>
      <x:c r="E117" s="6" t="s">
        <x:v>104</x:v>
      </x:c>
      <x:c r="F117" s="33">
        <x:f>'2026.9.9'!J65</x:f>
        <x:v>4</x:v>
      </x:c>
      <x:c r="G117" s="39">
        <x:f>H25*C117</x:f>
        <x:v>0</x:v>
      </x:c>
      <x:c r="H117" s="1"/>
      <x:c r="I117" s="1"/>
      <x:c r="J117" s="36">
        <x:f>F117+I117-G117-H117</x:f>
        <x:v>4</x:v>
      </x:c>
      <x:c r="K117" s="37">
        <x:f>J117/C117</x:f>
        <x:v>2</x:v>
      </x:c>
      <x:c r="L117" s="25" t="str">
        <x:f>IF(J117&lt;M117,119,"")</x:f>
        <x:v/>
      </x:c>
      <x:c r="M117" s="34">
        <x:f>P25*C117</x:f>
        <x:v>0</x:v>
      </x:c>
      <x:c r="N117" s="35">
        <x:f>J117-M117</x:f>
        <x:v>4</x:v>
      </x:c>
    </x:row>
    <x:row r="118" spans="1:14" customFormat="1" ht="18" customHeight="1">
      <x:c r="A118" s="15" t="s">
        <x:v>38</x:v>
      </x:c>
      <x:c r="B118" s="14" t="s">
        <x:v>156</x:v>
      </x:c>
      <x:c r="C118" s="1">
        <x:v>2</x:v>
      </x:c>
      <x:c r="D118" s="14" t="s">
        <x:v>83</x:v>
      </x:c>
      <x:c r="E118" s="1" t="s">
        <x:v>236</x:v>
      </x:c>
      <x:c r="F118" s="33">
        <x:f>'2026.9.9'!J66</x:f>
        <x:v>68</x:v>
      </x:c>
      <x:c r="G118" s="39">
        <x:f>J6*C118</x:f>
        <x:v>0</x:v>
      </x:c>
      <x:c r="H118" s="1"/>
      <x:c r="I118" s="1"/>
      <x:c r="J118" s="36">
        <x:f>F118+I118-G118-H118</x:f>
        <x:v>68</x:v>
      </x:c>
      <x:c r="K118" s="37">
        <x:f>J118/C118</x:f>
        <x:v>34</x:v>
      </x:c>
      <x:c r="L118" s="25" t="str">
        <x:f>IF(J118&lt;M118,119,"")</x:f>
        <x:v/>
      </x:c>
      <x:c r="M118" s="34">
        <x:f>R6*C118</x:f>
        <x:v>26</x:v>
      </x:c>
      <x:c r="N118" s="35">
        <x:f>J118-M118</x:f>
        <x:v>42</x:v>
      </x:c>
    </x:row>
    <x:row r="119" spans="1:14" customFormat="1" ht="18" customHeight="1">
      <x:c r="A119" s="15" t="s">
        <x:v>38</x:v>
      </x:c>
      <x:c r="B119" s="14" t="s">
        <x:v>156</x:v>
      </x:c>
      <x:c r="C119" s="1">
        <x:v>2</x:v>
      </x:c>
      <x:c r="D119" s="14" t="s">
        <x:v>41</x:v>
      </x:c>
      <x:c r="E119" s="7" t="s">
        <x:v>258</x:v>
      </x:c>
      <x:c r="F119" s="33">
        <x:f>'2026.9.9'!J67</x:f>
        <x:v>0</x:v>
      </x:c>
      <x:c r="G119" s="39">
        <x:f>J7*C119</x:f>
        <x:v>0</x:v>
      </x:c>
      <x:c r="H119" s="1"/>
      <x:c r="I119" s="1"/>
      <x:c r="J119" s="36">
        <x:f>F119+I119-G119-H119</x:f>
        <x:v>0</x:v>
      </x:c>
      <x:c r="K119" s="37">
        <x:f>J119/C119</x:f>
        <x:v>0</x:v>
      </x:c>
      <x:c r="L119" s="25" t="str">
        <x:f>IF(J119&lt;M119,119,"")</x:f>
        <x:v/>
      </x:c>
      <x:c r="M119" s="34">
        <x:f>R7*C119</x:f>
        <x:v>0</x:v>
      </x:c>
      <x:c r="N119" s="35">
        <x:f>J119-M119</x:f>
        <x:v>0</x:v>
      </x:c>
    </x:row>
    <x:row r="120" spans="1:14" customFormat="1" ht="18" customHeight="1">
      <x:c r="A120" s="15" t="s">
        <x:v>38</x:v>
      </x:c>
      <x:c r="B120" s="14" t="s">
        <x:v>156</x:v>
      </x:c>
      <x:c r="C120" s="1">
        <x:v>2</x:v>
      </x:c>
      <x:c r="D120" s="14" t="s">
        <x:v>47</x:v>
      </x:c>
      <x:c r="E120" s="7" t="s">
        <x:v>232</x:v>
      </x:c>
      <x:c r="F120" s="33">
        <x:f>'2026.9.9'!J68</x:f>
        <x:v>84</x:v>
      </x:c>
      <x:c r="G120" s="39">
        <x:f>J8*C120</x:f>
        <x:v>0</x:v>
      </x:c>
      <x:c r="H120" s="1"/>
      <x:c r="I120" s="1"/>
      <x:c r="J120" s="36">
        <x:f>F120+I120-G120-H120</x:f>
        <x:v>84</x:v>
      </x:c>
      <x:c r="K120" s="37">
        <x:f>J120/C120</x:f>
        <x:v>42</x:v>
      </x:c>
      <x:c r="L120" s="25" t="str">
        <x:f>IF(J120&lt;M120,119,"")</x:f>
        <x:v/>
      </x:c>
      <x:c r="M120" s="34">
        <x:f>R8*C120</x:f>
        <x:v>20</x:v>
      </x:c>
      <x:c r="N120" s="35">
        <x:f>J120-M120</x:f>
        <x:v>64</x:v>
      </x:c>
    </x:row>
    <x:row r="121" spans="1:14" ht="18" customHeight="1">
      <x:c r="A121" s="15" t="s">
        <x:v>38</x:v>
      </x:c>
      <x:c r="B121" s="14" t="s">
        <x:v>156</x:v>
      </x:c>
      <x:c r="C121" s="1">
        <x:v>2</x:v>
      </x:c>
      <x:c r="D121" s="9" t="s">
        <x:v>73</x:v>
      </x:c>
      <x:c r="E121" s="7" t="s">
        <x:v>52</x:v>
      </x:c>
      <x:c r="F121" s="33">
        <x:f>'2026.9.9'!J69</x:f>
        <x:v>71</x:v>
      </x:c>
      <x:c r="G121" s="39">
        <x:f>J9*C121</x:f>
        <x:v>4</x:v>
      </x:c>
      <x:c r="J121" s="36">
        <x:f>F121+I121-G121-H121</x:f>
        <x:v>67</x:v>
      </x:c>
      <x:c r="K121" s="37">
        <x:f>J121/C121</x:f>
        <x:v>33.5</x:v>
      </x:c>
      <x:c r="L121" s="25" t="str">
        <x:f>IF(J121&lt;M121,119,"")</x:f>
        <x:v/>
      </x:c>
      <x:c r="M121" s="34">
        <x:f>R9*C121</x:f>
        <x:v>20</x:v>
      </x:c>
      <x:c r="N121" s="35">
        <x:f>J121-M121</x:f>
        <x:v>47</x:v>
      </x:c>
    </x:row>
    <x:row r="122" spans="1:14" customFormat="1" ht="18" customHeight="1">
      <x:c r="A122" s="15" t="s">
        <x:v>253</x:v>
      </x:c>
      <x:c r="B122" s="14" t="s">
        <x:v>143</x:v>
      </x:c>
      <x:c r="C122" s="6">
        <x:v>2</x:v>
      </x:c>
      <x:c r="D122" s="14" t="s">
        <x:v>262</x:v>
      </x:c>
      <x:c r="E122" s="1" t="s">
        <x:v>201</x:v>
      </x:c>
      <x:c r="F122" s="33">
        <x:f>'2026.9.9'!J70</x:f>
        <x:v>36</x:v>
      </x:c>
      <x:c r="G122" s="33">
        <x:f>SUM(H4:H15)*C122</x:f>
        <x:v>0</x:v>
      </x:c>
      <x:c r="H122" s="6"/>
      <x:c r="I122" s="6"/>
      <x:c r="J122" s="36">
        <x:f>F122+I122-G122-H122</x:f>
        <x:v>36</x:v>
      </x:c>
      <x:c r="K122" s="37">
        <x:f>J122/C122</x:f>
        <x:v>18</x:v>
      </x:c>
      <x:c r="L122" s="25">
        <x:f>IF(J122&lt;M122,119,"")</x:f>
        <x:v>119</x:v>
      </x:c>
      <x:c r="M122" s="34">
        <x:f>SUM(P4:P16)*C122</x:f>
        <x:v>128</x:v>
      </x:c>
      <x:c r="N122" s="35">
        <x:f>J122-M122</x:f>
        <x:v>-92</x:v>
      </x:c>
    </x:row>
    <x:row r="123" spans="1:14" customFormat="1" ht="18" customHeight="1">
      <x:c r="A123" s="15" t="s">
        <x:v>253</x:v>
      </x:c>
      <x:c r="B123" s="14" t="s">
        <x:v>143</x:v>
      </x:c>
      <x:c r="C123" s="6">
        <x:v>2</x:v>
      </x:c>
      <x:c r="D123" s="14" t="s">
        <x:v>249</x:v>
      </x:c>
      <x:c r="E123" s="1" t="s">
        <x:v>150</x:v>
      </x:c>
      <x:c r="F123" s="33">
        <x:f>'2026.9.9'!J71</x:f>
        <x:v>177</x:v>
      </x:c>
      <x:c r="G123" s="39">
        <x:f>SUM(H17:H20)*C123</x:f>
        <x:v>0</x:v>
      </x:c>
      <x:c r="H123" s="1"/>
      <x:c r="I123" s="1"/>
      <x:c r="J123" s="36">
        <x:f>F123+I123-G123-H123</x:f>
        <x:v>177</x:v>
      </x:c>
      <x:c r="K123" s="37">
        <x:f>J123/C123</x:f>
        <x:v>88.5</x:v>
      </x:c>
      <x:c r="L123" s="25" t="str">
        <x:f>IF(J123&lt;M123,119,"")</x:f>
        <x:v/>
      </x:c>
      <x:c r="M123" s="34">
        <x:f>SUM(P17:P20)*C123</x:f>
        <x:v>38</x:v>
      </x:c>
      <x:c r="N123" s="35">
        <x:f>J123-M123</x:f>
        <x:v>139</x:v>
      </x:c>
    </x:row>
    <x:row r="124" spans="1:14" customFormat="1" ht="18" customHeight="1">
      <x:c r="A124" s="15" t="s">
        <x:v>253</x:v>
      </x:c>
      <x:c r="B124" s="14" t="s">
        <x:v>143</x:v>
      </x:c>
      <x:c r="C124" s="6">
        <x:v>2</x:v>
      </x:c>
      <x:c r="D124" s="14" t="s">
        <x:v>70</x:v>
      </x:c>
      <x:c r="E124" s="7" t="s">
        <x:v>148</x:v>
      </x:c>
      <x:c r="F124" s="33">
        <x:f>'2026.9.9'!J72</x:f>
        <x:v>65</x:v>
      </x:c>
      <x:c r="G124" s="39">
        <x:f>H21*C124</x:f>
        <x:v>0</x:v>
      </x:c>
      <x:c r="H124" s="1"/>
      <x:c r="I124" s="1"/>
      <x:c r="J124" s="36">
        <x:f>F124+I124-G124-H124</x:f>
        <x:v>65</x:v>
      </x:c>
      <x:c r="K124" s="37">
        <x:f>J124/C124</x:f>
        <x:v>32.5</x:v>
      </x:c>
      <x:c r="L124" s="25" t="str">
        <x:f>IF(J124&lt;M124,119,"")</x:f>
        <x:v/>
      </x:c>
      <x:c r="M124" s="34">
        <x:f>P21*C124</x:f>
        <x:v>34</x:v>
      </x:c>
      <x:c r="N124" s="35">
        <x:f>J124-M124</x:f>
        <x:v>31</x:v>
      </x:c>
    </x:row>
    <x:row r="125" spans="1:14" customFormat="1" ht="18" customHeight="1">
      <x:c r="A125" s="15" t="s">
        <x:v>253</x:v>
      </x:c>
      <x:c r="B125" s="14" t="s">
        <x:v>143</x:v>
      </x:c>
      <x:c r="C125" s="6">
        <x:v>1</x:v>
      </x:c>
      <x:c r="D125" s="14" t="s">
        <x:v>244</x:v>
      </x:c>
      <x:c r="E125" s="6" t="s">
        <x:v>185</x:v>
      </x:c>
      <x:c r="F125" s="33">
        <x:f>'2026.9.9'!J73</x:f>
        <x:v>0</x:v>
      </x:c>
      <x:c r="G125" s="39">
        <x:f>H22*C125</x:f>
        <x:v>0</x:v>
      </x:c>
      <x:c r="H125" s="1"/>
      <x:c r="I125" s="1"/>
      <x:c r="J125" s="36">
        <x:f>F125+I125-G125-H125</x:f>
        <x:v>0</x:v>
      </x:c>
      <x:c r="K125" s="37">
        <x:f>J125/C125</x:f>
        <x:v>0</x:v>
      </x:c>
      <x:c r="L125" s="25" t="str">
        <x:f>IF(J125&lt;M125,119,"")</x:f>
        <x:v/>
      </x:c>
      <x:c r="M125" s="34">
        <x:f>P22*C125</x:f>
        <x:v>0</x:v>
      </x:c>
      <x:c r="N125" s="35">
        <x:f>J125-M125</x:f>
        <x:v>0</x:v>
      </x:c>
    </x:row>
    <x:row r="126" spans="1:14" customFormat="1" ht="18" customHeight="1">
      <x:c r="A126" s="15" t="s">
        <x:v>253</x:v>
      </x:c>
      <x:c r="B126" s="14" t="s">
        <x:v>143</x:v>
      </x:c>
      <x:c r="C126" s="6">
        <x:v>1</x:v>
      </x:c>
      <x:c r="D126" s="14" t="s">
        <x:v>247</x:v>
      </x:c>
      <x:c r="E126" s="6" t="s">
        <x:v>196</x:v>
      </x:c>
      <x:c r="F126" s="33">
        <x:f>'2026.9.9'!J74</x:f>
        <x:v>0</x:v>
      </x:c>
      <x:c r="G126" s="39">
        <x:f>H23*C126</x:f>
        <x:v>0</x:v>
      </x:c>
      <x:c r="H126" s="1"/>
      <x:c r="I126" s="1"/>
      <x:c r="J126" s="36">
        <x:f>F126+I126-G126-H126</x:f>
        <x:v>0</x:v>
      </x:c>
      <x:c r="K126" s="37">
        <x:f>J126/C126</x:f>
        <x:v>0</x:v>
      </x:c>
      <x:c r="L126" s="25" t="str">
        <x:f>IF(J126&lt;M126,119,"")</x:f>
        <x:v/>
      </x:c>
      <x:c r="M126" s="34">
        <x:f>P23*C126</x:f>
        <x:v>0</x:v>
      </x:c>
      <x:c r="N126" s="35">
        <x:f>J126-M126</x:f>
        <x:v>0</x:v>
      </x:c>
    </x:row>
    <x:row r="127" spans="1:14" customFormat="1" ht="18" customHeight="1">
      <x:c r="A127" s="15" t="s">
        <x:v>253</x:v>
      </x:c>
      <x:c r="B127" s="14" t="s">
        <x:v>143</x:v>
      </x:c>
      <x:c r="C127" s="6">
        <x:v>2</x:v>
      </x:c>
      <x:c r="D127" s="14" t="s">
        <x:v>22</x:v>
      </x:c>
      <x:c r="E127" s="6" t="s">
        <x:v>215</x:v>
      </x:c>
      <x:c r="F127" s="33">
        <x:f>'2026.9.9'!J75</x:f>
        <x:v>0</x:v>
      </x:c>
      <x:c r="G127" s="39">
        <x:f>H24*C127</x:f>
        <x:v>0</x:v>
      </x:c>
      <x:c r="H127" s="1"/>
      <x:c r="I127" s="1"/>
      <x:c r="J127" s="36">
        <x:f>F127+I127-G127-H127</x:f>
        <x:v>0</x:v>
      </x:c>
      <x:c r="K127" s="37">
        <x:f>J127/C127</x:f>
        <x:v>0</x:v>
      </x:c>
      <x:c r="L127" s="25" t="str">
        <x:f>IF(J127&lt;M127,119,"")</x:f>
        <x:v/>
      </x:c>
      <x:c r="M127" s="34">
        <x:f>P24*C127</x:f>
        <x:v>0</x:v>
      </x:c>
      <x:c r="N127" s="35">
        <x:f>J127-M127</x:f>
        <x:v>0</x:v>
      </x:c>
    </x:row>
    <x:row r="128" spans="1:14" customFormat="1" ht="18" customHeight="1">
      <x:c r="A128" s="15" t="s">
        <x:v>253</x:v>
      </x:c>
      <x:c r="B128" s="14" t="s">
        <x:v>143</x:v>
      </x:c>
      <x:c r="C128" s="6">
        <x:v>2</x:v>
      </x:c>
      <x:c r="D128" s="14" t="s">
        <x:v>96</x:v>
      </x:c>
      <x:c r="E128" s="6" t="s">
        <x:v>206</x:v>
      </x:c>
      <x:c r="F128" s="33">
        <x:f>'2026.9.9'!J76</x:f>
        <x:v>4</x:v>
      </x:c>
      <x:c r="G128" s="39">
        <x:f>H25*C128</x:f>
        <x:v>0</x:v>
      </x:c>
      <x:c r="H128" s="1"/>
      <x:c r="I128" s="1"/>
      <x:c r="J128" s="36">
        <x:f>F128+I128-G128-H128</x:f>
        <x:v>4</x:v>
      </x:c>
      <x:c r="K128" s="37">
        <x:f>J128/C128</x:f>
        <x:v>2</x:v>
      </x:c>
      <x:c r="L128" s="25" t="str">
        <x:f>IF(J128&lt;M128,119,"")</x:f>
        <x:v/>
      </x:c>
      <x:c r="M128" s="34">
        <x:f>P25*C128</x:f>
        <x:v>0</x:v>
      </x:c>
      <x:c r="N128" s="35">
        <x:f>J128-M128</x:f>
        <x:v>4</x:v>
      </x:c>
    </x:row>
    <x:row r="129" spans="1:14" customFormat="1" ht="18" customHeight="1">
      <x:c r="A129" s="15" t="s">
        <x:v>253</x:v>
      </x:c>
      <x:c r="B129" s="14" t="s">
        <x:v>137</x:v>
      </x:c>
      <x:c r="C129" s="1">
        <x:v>1</x:v>
      </x:c>
      <x:c r="D129" s="14" t="s">
        <x:v>83</x:v>
      </x:c>
      <x:c r="E129" s="1" t="s">
        <x:v>126</x:v>
      </x:c>
      <x:c r="F129" s="33">
        <x:f>'2026.9.9'!J77</x:f>
        <x:v>0</x:v>
      </x:c>
      <x:c r="G129" s="39">
        <x:f>J6*C129</x:f>
        <x:v>0</x:v>
      </x:c>
      <x:c r="H129" s="1"/>
      <x:c r="I129" s="1"/>
      <x:c r="J129" s="36">
        <x:f>F129+I129-G129-H129</x:f>
        <x:v>0</x:v>
      </x:c>
      <x:c r="K129" s="37">
        <x:f>J129/C129</x:f>
        <x:v>0</x:v>
      </x:c>
      <x:c r="L129" s="25">
        <x:f>IF(J129&lt;M129,119,"")</x:f>
        <x:v>119</x:v>
      </x:c>
      <x:c r="M129" s="34">
        <x:f>R6*C129</x:f>
        <x:v>13</x:v>
      </x:c>
      <x:c r="N129" s="35">
        <x:f>J129-M129</x:f>
        <x:v>-13</x:v>
      </x:c>
    </x:row>
    <x:row r="130" spans="1:14" customFormat="1" ht="18" customHeight="1">
      <x:c r="A130" s="15" t="s">
        <x:v>253</x:v>
      </x:c>
      <x:c r="B130" s="14" t="s">
        <x:v>137</x:v>
      </x:c>
      <x:c r="C130" s="1">
        <x:v>1</x:v>
      </x:c>
      <x:c r="D130" s="14" t="s">
        <x:v>41</x:v>
      </x:c>
      <x:c r="E130" s="7" t="s">
        <x:v>131</x:v>
      </x:c>
      <x:c r="F130" s="33">
        <x:f>'2026.9.9'!J78</x:f>
        <x:v>3</x:v>
      </x:c>
      <x:c r="G130" s="39">
        <x:f>J7*C130</x:f>
        <x:v>0</x:v>
      </x:c>
      <x:c r="H130" s="1"/>
      <x:c r="I130" s="1"/>
      <x:c r="J130" s="36">
        <x:f>F130+I130-G130-H130</x:f>
        <x:v>3</x:v>
      </x:c>
      <x:c r="K130" s="37">
        <x:f>J130/C130</x:f>
        <x:v>3</x:v>
      </x:c>
      <x:c r="L130" s="25" t="str">
        <x:f>IF(J130&lt;M130,119,"")</x:f>
        <x:v/>
      </x:c>
      <x:c r="M130" s="34">
        <x:f>R7*C130</x:f>
        <x:v>0</x:v>
      </x:c>
      <x:c r="N130" s="35">
        <x:f>J130-M130</x:f>
        <x:v>3</x:v>
      </x:c>
    </x:row>
    <x:row r="131" spans="1:14" customFormat="1" ht="18" customHeight="1">
      <x:c r="A131" s="15" t="s">
        <x:v>253</x:v>
      </x:c>
      <x:c r="B131" s="14" t="s">
        <x:v>137</x:v>
      </x:c>
      <x:c r="C131" s="1">
        <x:v>1</x:v>
      </x:c>
      <x:c r="D131" s="14" t="s">
        <x:v>47</x:v>
      </x:c>
      <x:c r="E131" s="7" t="s">
        <x:v>133</x:v>
      </x:c>
      <x:c r="F131" s="33">
        <x:f>'2026.9.9'!J79</x:f>
        <x:v>6</x:v>
      </x:c>
      <x:c r="G131" s="39">
        <x:f>J8*C131</x:f>
        <x:v>0</x:v>
      </x:c>
      <x:c r="H131" s="1"/>
      <x:c r="I131" s="1"/>
      <x:c r="J131" s="36">
        <x:f>F131+I131-G131-H131</x:f>
        <x:v>6</x:v>
      </x:c>
      <x:c r="K131" s="37">
        <x:f>J131/C131</x:f>
        <x:v>6</x:v>
      </x:c>
      <x:c r="L131" s="25">
        <x:f>IF(J131&lt;M131,119,"")</x:f>
        <x:v>119</x:v>
      </x:c>
      <x:c r="M131" s="34">
        <x:f>R8*C131</x:f>
        <x:v>10</x:v>
      </x:c>
      <x:c r="N131" s="35">
        <x:f>J131-M131</x:f>
        <x:v>-4</x:v>
      </x:c>
    </x:row>
    <x:row r="132" spans="1:14" customFormat="1" ht="18" customHeight="1">
      <x:c r="A132" s="15" t="s">
        <x:v>253</x:v>
      </x:c>
      <x:c r="B132" s="14" t="s">
        <x:v>137</x:v>
      </x:c>
      <x:c r="C132" s="1">
        <x:v>1</x:v>
      </x:c>
      <x:c r="D132" s="9" t="s">
        <x:v>73</x:v>
      </x:c>
      <x:c r="E132" s="7" t="s">
        <x:v>133</x:v>
      </x:c>
      <x:c r="F132" s="33">
        <x:f>'2026.9.9'!J80</x:f>
        <x:v>2</x:v>
      </x:c>
      <x:c r="G132" s="39">
        <x:f>J9*C132</x:f>
        <x:v>2</x:v>
      </x:c>
      <x:c r="H132" s="1"/>
      <x:c r="I132" s="1"/>
      <x:c r="J132" s="36">
        <x:f>F132+I132-G132-H132</x:f>
        <x:v>0</x:v>
      </x:c>
      <x:c r="K132" s="37">
        <x:f>J132/C132</x:f>
        <x:v>0</x:v>
      </x:c>
      <x:c r="L132" s="25">
        <x:f>IF(J132&lt;M132,119,"")</x:f>
        <x:v>119</x:v>
      </x:c>
      <x:c r="M132" s="34">
        <x:f>R9*C132</x:f>
        <x:v>10</x:v>
      </x:c>
      <x:c r="N132" s="35">
        <x:f>J132-M132</x:f>
        <x:v>-10</x:v>
      </x:c>
    </x:row>
    <x:row r="133" spans="1:14" customFormat="1" ht="18" customHeight="1">
      <x:c r="A133" s="15" t="s">
        <x:v>274</x:v>
      </x:c>
      <x:c r="B133" s="14" t="s">
        <x:v>143</x:v>
      </x:c>
      <x:c r="C133" s="6">
        <x:v>2</x:v>
      </x:c>
      <x:c r="D133" s="14" t="s">
        <x:v>262</x:v>
      </x:c>
      <x:c r="E133" s="1" t="s">
        <x:v>85</x:v>
      </x:c>
      <x:c r="F133" s="33">
        <x:f>'2026.9.9'!J81</x:f>
        <x:v>116</x:v>
      </x:c>
      <x:c r="G133" s="33">
        <x:f>SUM(H4:H15)*C133</x:f>
        <x:v>0</x:v>
      </x:c>
      <x:c r="H133" s="6"/>
      <x:c r="I133" s="6"/>
      <x:c r="J133" s="36">
        <x:f>F133+I133-G133-H133</x:f>
        <x:v>116</x:v>
      </x:c>
      <x:c r="K133" s="37">
        <x:f>J133/C133</x:f>
        <x:v>58</x:v>
      </x:c>
      <x:c r="L133" s="25">
        <x:f>IF(J133&lt;M133,119,"")</x:f>
        <x:v>119</x:v>
      </x:c>
      <x:c r="M133" s="34">
        <x:f>SUM(P4:P16)*C133</x:f>
        <x:v>128</x:v>
      </x:c>
      <x:c r="N133" s="35">
        <x:f>J133-M133</x:f>
        <x:v>-12</x:v>
      </x:c>
    </x:row>
    <x:row r="134" spans="1:14" customFormat="1" ht="18" customHeight="1">
      <x:c r="A134" s="15" t="s">
        <x:v>274</x:v>
      </x:c>
      <x:c r="B134" s="14" t="s">
        <x:v>143</x:v>
      </x:c>
      <x:c r="C134" s="6">
        <x:v>2</x:v>
      </x:c>
      <x:c r="D134" s="14" t="s">
        <x:v>249</x:v>
      </x:c>
      <x:c r="E134" s="1" t="s">
        <x:v>45</x:v>
      </x:c>
      <x:c r="F134" s="33">
        <x:f>'2026.9.9'!J82</x:f>
        <x:v>62</x:v>
      </x:c>
      <x:c r="G134" s="39">
        <x:f>SUM(H17:H20)*C134</x:f>
        <x:v>0</x:v>
      </x:c>
      <x:c r="H134" s="1"/>
      <x:c r="I134" s="1"/>
      <x:c r="J134" s="36">
        <x:f>F134+I134-G134-H134</x:f>
        <x:v>62</x:v>
      </x:c>
      <x:c r="K134" s="37">
        <x:f>J134/C134</x:f>
        <x:v>31</x:v>
      </x:c>
      <x:c r="L134" s="25" t="str">
        <x:f>IF(J134&lt;M134,119,"")</x:f>
        <x:v/>
      </x:c>
      <x:c r="M134" s="34">
        <x:f>SUM(P17:P20)*C134</x:f>
        <x:v>38</x:v>
      </x:c>
      <x:c r="N134" s="35">
        <x:f>J134-M134</x:f>
        <x:v>24</x:v>
      </x:c>
    </x:row>
    <x:row r="135" spans="1:14" customFormat="1" ht="18" customHeight="1">
      <x:c r="A135" s="15" t="s">
        <x:v>274</x:v>
      </x:c>
      <x:c r="B135" s="14" t="s">
        <x:v>143</x:v>
      </x:c>
      <x:c r="C135" s="6">
        <x:v>2</x:v>
      </x:c>
      <x:c r="D135" s="14" t="s">
        <x:v>70</x:v>
      </x:c>
      <x:c r="E135" s="7" t="s">
        <x:v>66</x:v>
      </x:c>
      <x:c r="F135" s="33">
        <x:f>'2026.9.9'!J83</x:f>
        <x:v>93</x:v>
      </x:c>
      <x:c r="G135" s="39">
        <x:f>H21*C135</x:f>
        <x:v>0</x:v>
      </x:c>
      <x:c r="H135" s="1"/>
      <x:c r="I135" s="1"/>
      <x:c r="J135" s="36">
        <x:f>F135+I135-G135-H135</x:f>
        <x:v>93</x:v>
      </x:c>
      <x:c r="K135" s="37">
        <x:f>J135/C135</x:f>
        <x:v>46.5</x:v>
      </x:c>
      <x:c r="L135" s="25" t="str">
        <x:f>IF(J135&lt;M135,119,"")</x:f>
        <x:v/>
      </x:c>
      <x:c r="M135" s="34">
        <x:f>P21*C135</x:f>
        <x:v>34</x:v>
      </x:c>
      <x:c r="N135" s="35">
        <x:f>J135-M135</x:f>
        <x:v>59</x:v>
      </x:c>
    </x:row>
    <x:row r="136" spans="1:14" customFormat="1" ht="18" customHeight="1">
      <x:c r="A136" s="15" t="s">
        <x:v>274</x:v>
      </x:c>
      <x:c r="B136" s="14" t="s">
        <x:v>143</x:v>
      </x:c>
      <x:c r="C136" s="6">
        <x:v>1</x:v>
      </x:c>
      <x:c r="D136" s="14" t="s">
        <x:v>244</x:v>
      </x:c>
      <x:c r="E136" s="6" t="s">
        <x:v>95</x:v>
      </x:c>
      <x:c r="F136" s="33">
        <x:f>'2026.9.9'!J84</x:f>
        <x:v>0</x:v>
      </x:c>
      <x:c r="G136" s="39">
        <x:f>H22*C136</x:f>
        <x:v>0</x:v>
      </x:c>
      <x:c r="H136" s="1"/>
      <x:c r="I136" s="1"/>
      <x:c r="J136" s="36">
        <x:f>F136+I136-G136-H136</x:f>
        <x:v>0</x:v>
      </x:c>
      <x:c r="K136" s="37">
        <x:f>J136/C136</x:f>
        <x:v>0</x:v>
      </x:c>
      <x:c r="L136" s="25" t="str">
        <x:f>IF(J136&lt;M136,119,"")</x:f>
        <x:v/>
      </x:c>
      <x:c r="M136" s="34">
        <x:f>P22*C136</x:f>
        <x:v>0</x:v>
      </x:c>
      <x:c r="N136" s="35">
        <x:f>J136-M136</x:f>
        <x:v>0</x:v>
      </x:c>
    </x:row>
    <x:row r="137" spans="1:14" customFormat="1" ht="18" customHeight="1">
      <x:c r="A137" s="15" t="s">
        <x:v>274</x:v>
      </x:c>
      <x:c r="B137" s="14" t="s">
        <x:v>143</x:v>
      </x:c>
      <x:c r="C137" s="6">
        <x:v>1</x:v>
      </x:c>
      <x:c r="D137" s="14" t="s">
        <x:v>247</x:v>
      </x:c>
      <x:c r="E137" s="6" t="s">
        <x:v>98</x:v>
      </x:c>
      <x:c r="F137" s="33">
        <x:f>'2026.9.9'!J85</x:f>
        <x:v>0</x:v>
      </x:c>
      <x:c r="G137" s="39">
        <x:f>H23*C137</x:f>
        <x:v>0</x:v>
      </x:c>
      <x:c r="H137" s="1"/>
      <x:c r="I137" s="1"/>
      <x:c r="J137" s="36">
        <x:f>F137+I137-G137-H137</x:f>
        <x:v>0</x:v>
      </x:c>
      <x:c r="K137" s="37">
        <x:f>J137/C137</x:f>
        <x:v>0</x:v>
      </x:c>
      <x:c r="L137" s="25" t="str">
        <x:f>IF(J137&lt;M137,119,"")</x:f>
        <x:v/>
      </x:c>
      <x:c r="M137" s="34">
        <x:f>P23*C137</x:f>
        <x:v>0</x:v>
      </x:c>
      <x:c r="N137" s="35">
        <x:f>J137-M137</x:f>
        <x:v>0</x:v>
      </x:c>
    </x:row>
    <x:row r="138" spans="1:14" customFormat="1" ht="18" customHeight="1">
      <x:c r="A138" s="15" t="s">
        <x:v>274</x:v>
      </x:c>
      <x:c r="B138" s="14" t="s">
        <x:v>143</x:v>
      </x:c>
      <x:c r="C138" s="6">
        <x:v>2</x:v>
      </x:c>
      <x:c r="D138" s="14" t="s">
        <x:v>22</x:v>
      </x:c>
      <x:c r="E138" s="6" t="s">
        <x:v>106</x:v>
      </x:c>
      <x:c r="F138" s="33">
        <x:f>'2026.9.9'!J86</x:f>
        <x:v>0</x:v>
      </x:c>
      <x:c r="G138" s="39">
        <x:f>H24*C138</x:f>
        <x:v>0</x:v>
      </x:c>
      <x:c r="H138" s="1"/>
      <x:c r="I138" s="1"/>
      <x:c r="J138" s="36">
        <x:f>F138+I138-G138-H138</x:f>
        <x:v>0</x:v>
      </x:c>
      <x:c r="K138" s="37">
        <x:f>J138/C138</x:f>
        <x:v>0</x:v>
      </x:c>
      <x:c r="L138" s="25" t="str">
        <x:f>IF(J138&lt;M138,119,"")</x:f>
        <x:v/>
      </x:c>
      <x:c r="M138" s="34">
        <x:f>P24*C138</x:f>
        <x:v>0</x:v>
      </x:c>
      <x:c r="N138" s="35">
        <x:f>J138-M138</x:f>
        <x:v>0</x:v>
      </x:c>
    </x:row>
    <x:row r="139" spans="1:14" customFormat="1" ht="18" customHeight="1">
      <x:c r="A139" s="15" t="s">
        <x:v>274</x:v>
      </x:c>
      <x:c r="B139" s="14" t="s">
        <x:v>143</x:v>
      </x:c>
      <x:c r="C139" s="6">
        <x:v>2</x:v>
      </x:c>
      <x:c r="D139" s="14" t="s">
        <x:v>96</x:v>
      </x:c>
      <x:c r="E139" s="6" t="s">
        <x:v>87</x:v>
      </x:c>
      <x:c r="F139" s="33">
        <x:f>'2026.9.9'!J87</x:f>
        <x:v>4</x:v>
      </x:c>
      <x:c r="G139" s="39">
        <x:f>H25*C139</x:f>
        <x:v>0</x:v>
      </x:c>
      <x:c r="H139" s="1"/>
      <x:c r="I139" s="1"/>
      <x:c r="J139" s="36">
        <x:f>F139+I139-G139-H139</x:f>
        <x:v>4</x:v>
      </x:c>
      <x:c r="K139" s="37">
        <x:f>J139/C139</x:f>
        <x:v>2</x:v>
      </x:c>
      <x:c r="L139" s="25" t="str">
        <x:f>IF(J139&lt;M139,119,"")</x:f>
        <x:v/>
      </x:c>
      <x:c r="M139" s="34">
        <x:f>P25*C139</x:f>
        <x:v>0</x:v>
      </x:c>
      <x:c r="N139" s="35">
        <x:f>J139-M139</x:f>
        <x:v>4</x:v>
      </x:c>
    </x:row>
    <x:row r="140" spans="1:14" customFormat="1" ht="18" customHeight="1">
      <x:c r="A140" s="15" t="s">
        <x:v>274</x:v>
      </x:c>
      <x:c r="B140" s="14" t="s">
        <x:v>137</x:v>
      </x:c>
      <x:c r="C140" s="1">
        <x:v>1</x:v>
      </x:c>
      <x:c r="D140" s="14" t="s">
        <x:v>83</x:v>
      </x:c>
      <x:c r="E140" s="1"/>
      <x:c r="F140" s="33">
        <x:f>'2026.9.9'!J88</x:f>
        <x:v>1</x:v>
      </x:c>
      <x:c r="G140" s="39">
        <x:f>J6*C140</x:f>
        <x:v>0</x:v>
      </x:c>
      <x:c r="H140" s="1"/>
      <x:c r="I140" s="1"/>
      <x:c r="J140" s="36">
        <x:f>F140+I140-G140-H140</x:f>
        <x:v>1</x:v>
      </x:c>
      <x:c r="K140" s="37">
        <x:f>J140/C140</x:f>
        <x:v>1</x:v>
      </x:c>
      <x:c r="L140" s="25">
        <x:f>IF(J140&lt;M140,119,"")</x:f>
        <x:v>119</x:v>
      </x:c>
      <x:c r="M140" s="34">
        <x:f>R6*C140</x:f>
        <x:v>13</x:v>
      </x:c>
      <x:c r="N140" s="35">
        <x:f>J140-M140</x:f>
        <x:v>-12</x:v>
      </x:c>
    </x:row>
    <x:row r="141" spans="1:14" customFormat="1" ht="18" customHeight="1">
      <x:c r="A141" s="15" t="s">
        <x:v>274</x:v>
      </x:c>
      <x:c r="B141" s="14" t="s">
        <x:v>137</x:v>
      </x:c>
      <x:c r="C141" s="1">
        <x:v>1</x:v>
      </x:c>
      <x:c r="D141" s="14" t="s">
        <x:v>41</x:v>
      </x:c>
      <x:c r="E141" s="7"/>
      <x:c r="F141" s="33">
        <x:f>'2026.9.9'!J89</x:f>
        <x:v>0</x:v>
      </x:c>
      <x:c r="G141" s="39">
        <x:f>J7*C141</x:f>
        <x:v>0</x:v>
      </x:c>
      <x:c r="H141" s="1"/>
      <x:c r="I141" s="1"/>
      <x:c r="J141" s="36">
        <x:f>F141+I141-G141-H141</x:f>
        <x:v>0</x:v>
      </x:c>
      <x:c r="K141" s="37">
        <x:f>J141/C141</x:f>
        <x:v>0</x:v>
      </x:c>
      <x:c r="L141" s="25" t="str">
        <x:f>IF(J141&lt;M141,119,"")</x:f>
        <x:v/>
      </x:c>
      <x:c r="M141" s="34">
        <x:f>R7*C141</x:f>
        <x:v>0</x:v>
      </x:c>
      <x:c r="N141" s="35">
        <x:f>J141-M141</x:f>
        <x:v>0</x:v>
      </x:c>
    </x:row>
    <x:row r="142" spans="1:14" customFormat="1" ht="18" customHeight="1">
      <x:c r="A142" s="15" t="s">
        <x:v>274</x:v>
      </x:c>
      <x:c r="B142" s="14" t="s">
        <x:v>137</x:v>
      </x:c>
      <x:c r="C142" s="1">
        <x:v>1</x:v>
      </x:c>
      <x:c r="D142" s="14" t="s">
        <x:v>47</x:v>
      </x:c>
      <x:c r="E142" s="7"/>
      <x:c r="F142" s="33">
        <x:f>'2026.9.9'!J90</x:f>
        <x:v>7</x:v>
      </x:c>
      <x:c r="G142" s="39">
        <x:f>J8*C142</x:f>
        <x:v>0</x:v>
      </x:c>
      <x:c r="H142" s="1"/>
      <x:c r="I142" s="1"/>
      <x:c r="J142" s="36">
        <x:f>F142+I142-G142-H142</x:f>
        <x:v>7</x:v>
      </x:c>
      <x:c r="K142" s="37">
        <x:f>J142/C142</x:f>
        <x:v>7</x:v>
      </x:c>
      <x:c r="L142" s="25">
        <x:f>IF(J142&lt;M142,119,"")</x:f>
        <x:v>119</x:v>
      </x:c>
      <x:c r="M142" s="34">
        <x:f>R8*C142</x:f>
        <x:v>10</x:v>
      </x:c>
      <x:c r="N142" s="35">
        <x:f>J142-M142</x:f>
        <x:v>-3</x:v>
      </x:c>
    </x:row>
    <x:row r="143" spans="1:14" customFormat="1" ht="18" customHeight="1">
      <x:c r="A143" s="15" t="s">
        <x:v>274</x:v>
      </x:c>
      <x:c r="B143" s="14" t="s">
        <x:v>137</x:v>
      </x:c>
      <x:c r="C143" s="1">
        <x:v>1</x:v>
      </x:c>
      <x:c r="D143" s="9" t="s">
        <x:v>73</x:v>
      </x:c>
      <x:c r="E143" s="7" t="s">
        <x:v>92</x:v>
      </x:c>
      <x:c r="F143" s="33">
        <x:f>'2026.9.9'!J91</x:f>
        <x:v>2</x:v>
      </x:c>
      <x:c r="G143" s="39">
        <x:f>J9*C143</x:f>
        <x:v>2</x:v>
      </x:c>
      <x:c r="H143" s="1"/>
      <x:c r="I143" s="1"/>
      <x:c r="J143" s="36">
        <x:f>F143+I143-G143-H143</x:f>
        <x:v>0</x:v>
      </x:c>
      <x:c r="K143" s="37">
        <x:f>J143/C143</x:f>
        <x:v>0</x:v>
      </x:c>
      <x:c r="L143" s="25">
        <x:f>IF(J143&lt;M143,119,"")</x:f>
        <x:v>119</x:v>
      </x:c>
      <x:c r="M143" s="34">
        <x:f>R9*C143</x:f>
        <x:v>10</x:v>
      </x:c>
      <x:c r="N143" s="35">
        <x:f>J143-M143</x:f>
        <x:v>-10</x:v>
      </x:c>
    </x:row>
    <x:row r="144" spans="1:14" customFormat="1" ht="18" customHeight="1">
      <x:c r="A144" s="15" t="s">
        <x:v>53</x:v>
      </x:c>
      <x:c r="B144" s="14" t="s">
        <x:v>143</x:v>
      </x:c>
      <x:c r="C144" s="6">
        <x:v>8</x:v>
      </x:c>
      <x:c r="D144" s="14" t="s">
        <x:v>262</x:v>
      </x:c>
      <x:c r="E144" s="1" t="s">
        <x:v>175</x:v>
      </x:c>
      <x:c r="F144" s="33">
        <x:f>'2026.9.9'!J92</x:f>
        <x:v>318</x:v>
      </x:c>
      <x:c r="G144" s="33">
        <x:f>SUM(H4:H15)*C144</x:f>
        <x:v>0</x:v>
      </x:c>
      <x:c r="H144" s="6"/>
      <x:c r="I144" s="6"/>
      <x:c r="J144" s="36">
        <x:f>F144+I144-G144-H144</x:f>
        <x:v>318</x:v>
      </x:c>
      <x:c r="K144" s="37">
        <x:f>J144/C144</x:f>
        <x:v>39.75</x:v>
      </x:c>
      <x:c r="L144" s="25">
        <x:f>IF(J144&lt;M144,119,"")</x:f>
        <x:v>119</x:v>
      </x:c>
      <x:c r="M144" s="34">
        <x:f>SUM(P4:P16)*C144</x:f>
        <x:v>512</x:v>
      </x:c>
      <x:c r="N144" s="35">
        <x:f>J144-M144</x:f>
        <x:v>-194</x:v>
      </x:c>
    </x:row>
    <x:row r="145" spans="1:14" customFormat="1" ht="18" customHeight="1">
      <x:c r="A145" s="15" t="s">
        <x:v>53</x:v>
      </x:c>
      <x:c r="B145" s="14" t="s">
        <x:v>143</x:v>
      </x:c>
      <x:c r="C145" s="6">
        <x:v>8</x:v>
      </x:c>
      <x:c r="D145" s="14" t="s">
        <x:v>249</x:v>
      </x:c>
      <x:c r="E145" s="1" t="s">
        <x:v>159</x:v>
      </x:c>
      <x:c r="F145" s="33">
        <x:f>'2026.9.9'!J93</x:f>
        <x:v>299</x:v>
      </x:c>
      <x:c r="G145" s="39">
        <x:f>SUM(H17:H20)*C145</x:f>
        <x:v>0</x:v>
      </x:c>
      <x:c r="H145" s="1"/>
      <x:c r="I145" s="1"/>
      <x:c r="J145" s="36">
        <x:f>F145+I145-G145-H145</x:f>
        <x:v>299</x:v>
      </x:c>
      <x:c r="K145" s="37">
        <x:f>J145/C145</x:f>
        <x:v>37.375</x:v>
      </x:c>
      <x:c r="L145" s="25" t="str">
        <x:f>IF(J145&lt;M145,119,"")</x:f>
        <x:v/>
      </x:c>
      <x:c r="M145" s="34">
        <x:f>SUM(P17:P20)*C145</x:f>
        <x:v>152</x:v>
      </x:c>
      <x:c r="N145" s="35">
        <x:f>J145-M145</x:f>
        <x:v>147</x:v>
      </x:c>
    </x:row>
    <x:row r="146" spans="1:14" customFormat="1" ht="18" customHeight="1">
      <x:c r="A146" s="15" t="s">
        <x:v>53</x:v>
      </x:c>
      <x:c r="B146" s="14" t="s">
        <x:v>143</x:v>
      </x:c>
      <x:c r="C146" s="6">
        <x:v>8</x:v>
      </x:c>
      <x:c r="D146" s="14" t="s">
        <x:v>70</x:v>
      </x:c>
      <x:c r="E146" s="7" t="s">
        <x:v>192</x:v>
      </x:c>
      <x:c r="F146" s="33">
        <x:f>'2026.9.9'!J94</x:f>
        <x:v>686</x:v>
      </x:c>
      <x:c r="G146" s="39">
        <x:f>H21*C146</x:f>
        <x:v>0</x:v>
      </x:c>
      <x:c r="H146" s="1"/>
      <x:c r="I146" s="1"/>
      <x:c r="J146" s="36">
        <x:f>F146+I146-G146-H146</x:f>
        <x:v>686</x:v>
      </x:c>
      <x:c r="K146" s="37">
        <x:f>J146/C146</x:f>
        <x:v>85.75</x:v>
      </x:c>
      <x:c r="L146" s="25" t="str">
        <x:f>IF(J146&lt;M146,119,"")</x:f>
        <x:v/>
      </x:c>
      <x:c r="M146" s="34">
        <x:f>P21*C146</x:f>
        <x:v>136</x:v>
      </x:c>
      <x:c r="N146" s="35">
        <x:f>J146-M146</x:f>
        <x:v>550</x:v>
      </x:c>
    </x:row>
    <x:row r="147" spans="1:14" customFormat="1" ht="18" customHeight="1">
      <x:c r="A147" s="15" t="s">
        <x:v>53</x:v>
      </x:c>
      <x:c r="B147" s="14" t="s">
        <x:v>143</x:v>
      </x:c>
      <x:c r="C147" s="6">
        <x:v>4</x:v>
      </x:c>
      <x:c r="D147" s="14" t="s">
        <x:v>276</x:v>
      </x:c>
      <x:c r="E147" s="6" t="s">
        <x:v>203</x:v>
      </x:c>
      <x:c r="F147" s="33">
        <x:f>'2026.9.9'!J95</x:f>
        <x:v>2</x:v>
      </x:c>
      <x:c r="G147" s="39">
        <x:f>SUM(H22:H23)*C147</x:f>
        <x:v>0</x:v>
      </x:c>
      <x:c r="H147" s="1"/>
      <x:c r="I147" s="1"/>
      <x:c r="J147" s="36">
        <x:f>F147+I147-G147-H147</x:f>
        <x:v>2</x:v>
      </x:c>
      <x:c r="K147" s="37">
        <x:f>J147/C147</x:f>
        <x:v>0.5</x:v>
      </x:c>
      <x:c r="L147" s="25" t="str">
        <x:f>IF(J147&lt;M147,119,"")</x:f>
        <x:v/>
      </x:c>
      <x:c r="M147" s="34">
        <x:f>SUM(P22:P23)*C147</x:f>
        <x:v>0</x:v>
      </x:c>
      <x:c r="N147" s="35">
        <x:f>J147-M147</x:f>
        <x:v>2</x:v>
      </x:c>
    </x:row>
    <x:row r="148" spans="1:14" customFormat="1" ht="18" customHeight="1">
      <x:c r="A148" s="15" t="s">
        <x:v>53</x:v>
      </x:c>
      <x:c r="B148" s="14" t="s">
        <x:v>143</x:v>
      </x:c>
      <x:c r="C148" s="6">
        <x:v>8</x:v>
      </x:c>
      <x:c r="D148" s="14" t="s">
        <x:v>11</x:v>
      </x:c>
      <x:c r="E148" s="6" t="s">
        <x:v>30</x:v>
      </x:c>
      <x:c r="F148" s="33">
        <x:f>'2026.9.9'!J96</x:f>
        <x:v>23</x:v>
      </x:c>
      <x:c r="G148" s="39">
        <x:f>SUM(H24:H25)*C148</x:f>
        <x:v>0</x:v>
      </x:c>
      <x:c r="H148" s="1"/>
      <x:c r="I148" s="1"/>
      <x:c r="J148" s="36">
        <x:f>F148+I148-G148-H148</x:f>
        <x:v>23</x:v>
      </x:c>
      <x:c r="K148" s="37">
        <x:f>J148/C148</x:f>
        <x:v>2.875</x:v>
      </x:c>
      <x:c r="L148" s="25" t="str">
        <x:f>IF(J148&lt;M148,119,"")</x:f>
        <x:v/>
      </x:c>
      <x:c r="M148" s="34">
        <x:f>SUM(P24:P25)*C148</x:f>
        <x:v>0</x:v>
      </x:c>
      <x:c r="N148" s="35">
        <x:f>J148-M148</x:f>
        <x:v>23</x:v>
      </x:c>
    </x:row>
    <x:row r="149" spans="1:14" customFormat="1" ht="18" customHeight="1">
      <x:c r="A149" s="15" t="s">
        <x:v>53</x:v>
      </x:c>
      <x:c r="B149" s="14" t="s">
        <x:v>140</x:v>
      </x:c>
      <x:c r="C149" s="1">
        <x:v>4</x:v>
      </x:c>
      <x:c r="D149" s="14" t="s">
        <x:v>83</x:v>
      </x:c>
      <x:c r="E149" s="1" t="s">
        <x:v>49</x:v>
      </x:c>
      <x:c r="F149" s="33">
        <x:f>'2026.9.9'!J97</x:f>
        <x:v>138</x:v>
      </x:c>
      <x:c r="G149" s="39">
        <x:f>J6*C149</x:f>
        <x:v>0</x:v>
      </x:c>
      <x:c r="H149" s="1"/>
      <x:c r="I149" s="1"/>
      <x:c r="J149" s="36">
        <x:f>F149+I149-G149-H149</x:f>
        <x:v>138</x:v>
      </x:c>
      <x:c r="K149" s="37">
        <x:f>J149/C149</x:f>
        <x:v>34.5</x:v>
      </x:c>
      <x:c r="L149" s="25" t="str">
        <x:f>IF(J149&lt;M149,119,"")</x:f>
        <x:v/>
      </x:c>
      <x:c r="M149" s="34">
        <x:f>R6*C149</x:f>
        <x:v>52</x:v>
      </x:c>
      <x:c r="N149" s="35">
        <x:f>J149-M149</x:f>
        <x:v>86</x:v>
      </x:c>
    </x:row>
    <x:row r="150" spans="1:14" customFormat="1" ht="18" customHeight="1">
      <x:c r="A150" s="15" t="s">
        <x:v>53</x:v>
      </x:c>
      <x:c r="B150" s="14" t="s">
        <x:v>140</x:v>
      </x:c>
      <x:c r="C150" s="1">
        <x:v>4</x:v>
      </x:c>
      <x:c r="D150" s="14" t="s">
        <x:v>8</x:v>
      </x:c>
      <x:c r="E150" s="7" t="s">
        <x:v>71</x:v>
      </x:c>
      <x:c r="F150" s="33">
        <x:f>'2026.9.9'!J98</x:f>
        <x:v>147</x:v>
      </x:c>
      <x:c r="G150" s="39">
        <x:f>SUM(J7:J8)*C150</x:f>
        <x:v>0</x:v>
      </x:c>
      <x:c r="H150" s="1"/>
      <x:c r="I150" s="1"/>
      <x:c r="J150" s="36">
        <x:f>F150+I150-G150-H150</x:f>
        <x:v>147</x:v>
      </x:c>
      <x:c r="K150" s="37">
        <x:f>J150/C150</x:f>
        <x:v>36.75</x:v>
      </x:c>
      <x:c r="L150" s="25" t="str">
        <x:f>IF(J150&lt;M150,119,"")</x:f>
        <x:v/>
      </x:c>
      <x:c r="M150" s="34">
        <x:f>SUM(R7:R8)*C150</x:f>
        <x:v>40</x:v>
      </x:c>
      <x:c r="N150" s="35">
        <x:f>J150-M150</x:f>
        <x:v>107</x:v>
      </x:c>
    </x:row>
    <x:row r="151" spans="1:14" customFormat="1" ht="18" customHeight="1">
      <x:c r="A151" s="15" t="s">
        <x:v>53</x:v>
      </x:c>
      <x:c r="B151" s="14" t="s">
        <x:v>140</x:v>
      </x:c>
      <x:c r="C151" s="1">
        <x:v>4</x:v>
      </x:c>
      <x:c r="D151" s="9" t="s">
        <x:v>73</x:v>
      </x:c>
      <x:c r="E151" s="7" t="s">
        <x:v>79</x:v>
      </x:c>
      <x:c r="F151" s="33">
        <x:f>'2026.9.9'!J99</x:f>
        <x:v>145</x:v>
      </x:c>
      <x:c r="G151" s="39">
        <x:f>J9*C151</x:f>
        <x:v>8</x:v>
      </x:c>
      <x:c r="H151" s="1"/>
      <x:c r="I151" s="1"/>
      <x:c r="J151" s="36">
        <x:f>F151+I151-G151-H151</x:f>
        <x:v>137</x:v>
      </x:c>
      <x:c r="K151" s="37">
        <x:f>J151/C151</x:f>
        <x:v>34.25</x:v>
      </x:c>
      <x:c r="L151" s="25" t="str">
        <x:f>IF(J151&lt;M151,119,"")</x:f>
        <x:v/>
      </x:c>
      <x:c r="M151" s="34">
        <x:f>R9*C151</x:f>
        <x:v>40</x:v>
      </x:c>
      <x:c r="N151" s="35">
        <x:f>J151-M151</x:f>
        <x:v>97</x:v>
      </x:c>
    </x:row>
    <x:row r="152" spans="1:14" customFormat="1" ht="18" customHeight="1">
      <x:c r="A152" s="15" t="s">
        <x:v>260</x:v>
      </x:c>
      <x:c r="B152" s="14" t="s">
        <x:v>160</x:v>
      </x:c>
      <x:c r="C152" s="1">
        <x:v>2</x:v>
      </x:c>
      <x:c r="D152" s="9" t="s">
        <x:v>262</x:v>
      </x:c>
      <x:c r="E152" s="7" t="s">
        <x:v>125</x:v>
      </x:c>
      <x:c r="F152" s="33">
        <x:f>'2026.9.9'!J100</x:f>
        <x:v>122</x:v>
      </x:c>
      <x:c r="G152" s="39">
        <x:f>SUM(H4:H15)*C152</x:f>
        <x:v>0</x:v>
      </x:c>
      <x:c r="H152" s="1"/>
      <x:c r="I152" s="1"/>
      <x:c r="J152" s="36">
        <x:f>F152+I152-G152-H152</x:f>
        <x:v>122</x:v>
      </x:c>
      <x:c r="K152" s="37">
        <x:f>J152/C152</x:f>
        <x:v>61</x:v>
      </x:c>
      <x:c r="L152" s="25">
        <x:f>IF(J152&lt;M152,119,"")</x:f>
        <x:v>119</x:v>
      </x:c>
      <x:c r="M152" s="34">
        <x:f>SUM(P4:P16)*C152</x:f>
        <x:v>128</x:v>
      </x:c>
      <x:c r="N152" s="35">
        <x:f>J152-M152</x:f>
        <x:v>-6</x:v>
      </x:c>
    </x:row>
    <x:row r="153" spans="1:14" customFormat="1" ht="18" customHeight="1">
      <x:c r="A153" s="15" t="s">
        <x:v>260</x:v>
      </x:c>
      <x:c r="B153" s="14" t="s">
        <x:v>160</x:v>
      </x:c>
      <x:c r="C153" s="6">
        <x:v>2</x:v>
      </x:c>
      <x:c r="D153" s="14" t="s">
        <x:v>249</x:v>
      </x:c>
      <x:c r="E153" s="1" t="s">
        <x:v>132</x:v>
      </x:c>
      <x:c r="F153" s="33">
        <x:f>'2026.9.9'!J101</x:f>
        <x:v>37</x:v>
      </x:c>
      <x:c r="G153" s="39">
        <x:f>SUM(H17:H20)*C153</x:f>
        <x:v>0</x:v>
      </x:c>
      <x:c r="H153" s="1"/>
      <x:c r="I153" s="1"/>
      <x:c r="J153" s="36">
        <x:f>F153+I153-G153-H153</x:f>
        <x:v>37</x:v>
      </x:c>
      <x:c r="K153" s="37">
        <x:f>J153/C153</x:f>
        <x:v>18.5</x:v>
      </x:c>
      <x:c r="L153" s="25">
        <x:f>IF(J153&lt;M153,119,"")</x:f>
        <x:v>119</x:v>
      </x:c>
      <x:c r="M153" s="34">
        <x:f>SUM(P17:P20)*C153</x:f>
        <x:v>38</x:v>
      </x:c>
      <x:c r="N153" s="35">
        <x:f>J153-M153</x:f>
        <x:v>-1</x:v>
      </x:c>
    </x:row>
    <x:row r="154" spans="1:14" customFormat="1" ht="18" customHeight="1">
      <x:c r="A154" s="15" t="s">
        <x:v>260</x:v>
      </x:c>
      <x:c r="B154" s="14" t="s">
        <x:v>160</x:v>
      </x:c>
      <x:c r="C154" s="6">
        <x:v>2</x:v>
      </x:c>
      <x:c r="D154" s="14" t="s">
        <x:v>70</x:v>
      </x:c>
      <x:c r="E154" s="7" t="s">
        <x:v>129</x:v>
      </x:c>
      <x:c r="F154" s="33">
        <x:f>'2026.9.9'!J102</x:f>
        <x:v>94</x:v>
      </x:c>
      <x:c r="G154" s="39">
        <x:f>H21*C154</x:f>
        <x:v>0</x:v>
      </x:c>
      <x:c r="H154" s="1"/>
      <x:c r="I154" s="1"/>
      <x:c r="J154" s="36">
        <x:f>F154+I154-G154-H154</x:f>
        <x:v>94</x:v>
      </x:c>
      <x:c r="K154" s="37">
        <x:f>J154/C154</x:f>
        <x:v>47</x:v>
      </x:c>
      <x:c r="L154" s="25" t="str">
        <x:f>IF(J154&lt;M154,119,"")</x:f>
        <x:v/>
      </x:c>
      <x:c r="M154" s="34">
        <x:f>P21*C154</x:f>
        <x:v>34</x:v>
      </x:c>
      <x:c r="N154" s="35">
        <x:f>J154-M154</x:f>
        <x:v>60</x:v>
      </x:c>
    </x:row>
    <x:row r="155" spans="1:14" customFormat="1" ht="18" customHeight="1">
      <x:c r="A155" s="15" t="s">
        <x:v>260</x:v>
      </x:c>
      <x:c r="B155" s="14" t="s">
        <x:v>177</x:v>
      </x:c>
      <x:c r="C155" s="6">
        <x:v>2</x:v>
      </x:c>
      <x:c r="D155" s="14" t="s">
        <x:v>22</x:v>
      </x:c>
      <x:c r="E155" s="6" t="s">
        <x:v>212</x:v>
      </x:c>
      <x:c r="F155" s="33">
        <x:f>'2026.9.9'!J103</x:f>
        <x:v>0</x:v>
      </x:c>
      <x:c r="G155" s="39">
        <x:f>H24*C155</x:f>
        <x:v>0</x:v>
      </x:c>
      <x:c r="H155" s="1"/>
      <x:c r="I155" s="1"/>
      <x:c r="J155" s="36">
        <x:f>F155+I155-G155-H155</x:f>
        <x:v>0</x:v>
      </x:c>
      <x:c r="K155" s="37">
        <x:f>J155/C155</x:f>
        <x:v>0</x:v>
      </x:c>
      <x:c r="L155" s="25" t="str">
        <x:f>IF(J155&lt;M155,119,"")</x:f>
        <x:v/>
      </x:c>
      <x:c r="M155" s="34">
        <x:f>P24*C155</x:f>
        <x:v>0</x:v>
      </x:c>
      <x:c r="N155" s="35">
        <x:f>J155-M155</x:f>
        <x:v>0</x:v>
      </x:c>
    </x:row>
    <x:row r="156" spans="1:14" customFormat="1" ht="18" customHeight="1">
      <x:c r="A156" s="15" t="s">
        <x:v>260</x:v>
      </x:c>
      <x:c r="B156" s="14" t="s">
        <x:v>177</x:v>
      </x:c>
      <x:c r="C156" s="6">
        <x:v>2</x:v>
      </x:c>
      <x:c r="D156" s="14" t="s">
        <x:v>96</x:v>
      </x:c>
      <x:c r="E156" s="6" t="s">
        <x:v>225</x:v>
      </x:c>
      <x:c r="F156" s="33">
        <x:f>'2026.9.9'!J104</x:f>
        <x:v>4</x:v>
      </x:c>
      <x:c r="G156" s="39">
        <x:f>H25*C156</x:f>
        <x:v>0</x:v>
      </x:c>
      <x:c r="H156" s="1"/>
      <x:c r="I156" s="1"/>
      <x:c r="J156" s="36">
        <x:f>F156+I156-G156-H156</x:f>
        <x:v>4</x:v>
      </x:c>
      <x:c r="K156" s="37">
        <x:f>J156/C156</x:f>
        <x:v>2</x:v>
      </x:c>
      <x:c r="L156" s="25" t="str">
        <x:f>IF(J156&lt;M156,119,"")</x:f>
        <x:v/>
      </x:c>
      <x:c r="M156" s="34">
        <x:f>P25*C156</x:f>
        <x:v>0</x:v>
      </x:c>
      <x:c r="N156" s="35">
        <x:f>J156-M156</x:f>
        <x:v>4</x:v>
      </x:c>
    </x:row>
    <x:row r="157" spans="1:14" customFormat="1" ht="18" customHeight="1">
      <x:c r="A157" s="15" t="s">
        <x:v>256</x:v>
      </x:c>
      <x:c r="B157" s="14" t="s">
        <x:v>161</x:v>
      </x:c>
      <x:c r="C157" s="6">
        <x:v>2</x:v>
      </x:c>
      <x:c r="D157" s="14" t="s">
        <x:v>262</x:v>
      </x:c>
      <x:c r="E157" s="1" t="s">
        <x:v>152</x:v>
      </x:c>
      <x:c r="F157" s="33">
        <x:f>'2026.9.9'!J105</x:f>
        <x:v>72</x:v>
      </x:c>
      <x:c r="G157" s="33">
        <x:f>SUM(H4:H15)*C157</x:f>
        <x:v>0</x:v>
      </x:c>
      <x:c r="H157" s="6"/>
      <x:c r="I157" s="6"/>
      <x:c r="J157" s="36">
        <x:f>F157+I157-G157-H157</x:f>
        <x:v>72</x:v>
      </x:c>
      <x:c r="K157" s="37">
        <x:f>J157/C157</x:f>
        <x:v>36</x:v>
      </x:c>
      <x:c r="L157" s="25">
        <x:f>IF(J157&lt;M157,119,"")</x:f>
        <x:v>119</x:v>
      </x:c>
      <x:c r="M157" s="34">
        <x:f>SUM(P4:P16)*C157</x:f>
        <x:v>128</x:v>
      </x:c>
      <x:c r="N157" s="35">
        <x:f>J157-M157</x:f>
        <x:v>-56</x:v>
      </x:c>
    </x:row>
    <x:row r="158" spans="1:14" customFormat="1" ht="18" customHeight="1">
      <x:c r="A158" s="15" t="s">
        <x:v>256</x:v>
      </x:c>
      <x:c r="B158" s="14" t="s">
        <x:v>161</x:v>
      </x:c>
      <x:c r="C158" s="6">
        <x:v>2</x:v>
      </x:c>
      <x:c r="D158" s="14" t="s">
        <x:v>249</x:v>
      </x:c>
      <x:c r="E158" s="1" t="s">
        <x:v>141</x:v>
      </x:c>
      <x:c r="F158" s="33">
        <x:f>'2026.9.9'!J106</x:f>
        <x:v>41</x:v>
      </x:c>
      <x:c r="G158" s="39">
        <x:f>SUM(H17:H20)*C158</x:f>
        <x:v>0</x:v>
      </x:c>
      <x:c r="H158" s="1"/>
      <x:c r="I158" s="1"/>
      <x:c r="J158" s="36">
        <x:f>F158+I158-G158-H158</x:f>
        <x:v>41</x:v>
      </x:c>
      <x:c r="K158" s="37">
        <x:f>J158/C158</x:f>
        <x:v>20.5</x:v>
      </x:c>
      <x:c r="L158" s="25" t="str">
        <x:f>IF(J158&lt;M158,119,"")</x:f>
        <x:v/>
      </x:c>
      <x:c r="M158" s="34">
        <x:f>SUM(P17:P20)*C158</x:f>
        <x:v>38</x:v>
      </x:c>
      <x:c r="N158" s="35">
        <x:f>J158-M158</x:f>
        <x:v>3</x:v>
      </x:c>
    </x:row>
    <x:row r="159" spans="1:14" customFormat="1" ht="18" customHeight="1">
      <x:c r="A159" s="15" t="s">
        <x:v>256</x:v>
      </x:c>
      <x:c r="B159" s="14" t="s">
        <x:v>161</x:v>
      </x:c>
      <x:c r="C159" s="6">
        <x:v>2</x:v>
      </x:c>
      <x:c r="D159" s="14" t="s">
        <x:v>70</x:v>
      </x:c>
      <x:c r="E159" s="7" t="s">
        <x:v>138</x:v>
      </x:c>
      <x:c r="F159" s="33">
        <x:f>'2026.9.9'!J107</x:f>
        <x:v>32</x:v>
      </x:c>
      <x:c r="G159" s="39">
        <x:f>H21*C159</x:f>
        <x:v>0</x:v>
      </x:c>
      <x:c r="H159" s="1"/>
      <x:c r="I159" s="1"/>
      <x:c r="J159" s="36">
        <x:f>F159+I159-G159-H159</x:f>
        <x:v>32</x:v>
      </x:c>
      <x:c r="K159" s="37">
        <x:f>J159/C159</x:f>
        <x:v>16</x:v>
      </x:c>
      <x:c r="L159" s="25">
        <x:f>IF(J159&lt;M159,119,"")</x:f>
        <x:v>119</x:v>
      </x:c>
      <x:c r="M159" s="34">
        <x:f>P21*C159</x:f>
        <x:v>34</x:v>
      </x:c>
      <x:c r="N159" s="35">
        <x:f>J159-M159</x:f>
        <x:v>-2</x:v>
      </x:c>
    </x:row>
    <x:row r="160" spans="1:14" customFormat="1" ht="18" customHeight="1">
      <x:c r="A160" s="15" t="s">
        <x:v>256</x:v>
      </x:c>
      <x:c r="B160" s="14" t="s">
        <x:v>161</x:v>
      </x:c>
      <x:c r="C160" s="6">
        <x:v>2</x:v>
      </x:c>
      <x:c r="D160" s="14" t="s">
        <x:v>22</x:v>
      </x:c>
      <x:c r="E160" s="6" t="s">
        <x:v>179</x:v>
      </x:c>
      <x:c r="F160" s="33">
        <x:f>'2026.9.9'!J108</x:f>
        <x:v>0</x:v>
      </x:c>
      <x:c r="G160" s="39">
        <x:f>H24*C160</x:f>
        <x:v>0</x:v>
      </x:c>
      <x:c r="H160" s="1"/>
      <x:c r="I160" s="1"/>
      <x:c r="J160" s="36">
        <x:f>F160+I160-G160-H160</x:f>
        <x:v>0</x:v>
      </x:c>
      <x:c r="K160" s="37">
        <x:f>J160/C160</x:f>
        <x:v>0</x:v>
      </x:c>
      <x:c r="L160" s="25" t="str">
        <x:f>IF(J160&lt;M160,119,"")</x:f>
        <x:v/>
      </x:c>
      <x:c r="M160" s="34">
        <x:f>P24*C160</x:f>
        <x:v>0</x:v>
      </x:c>
      <x:c r="N160" s="35">
        <x:f>J160-M160</x:f>
        <x:v>0</x:v>
      </x:c>
    </x:row>
    <x:row r="161" spans="1:14" customFormat="1" ht="18" customHeight="1">
      <x:c r="A161" s="15" t="s">
        <x:v>256</x:v>
      </x:c>
      <x:c r="B161" s="14" t="s">
        <x:v>161</x:v>
      </x:c>
      <x:c r="C161" s="6">
        <x:v>2</x:v>
      </x:c>
      <x:c r="D161" s="14" t="s">
        <x:v>96</x:v>
      </x:c>
      <x:c r="E161" s="6" t="s">
        <x:v>202</x:v>
      </x:c>
      <x:c r="F161" s="33">
        <x:f>'2026.9.9'!J109</x:f>
        <x:v>4</x:v>
      </x:c>
      <x:c r="G161" s="39">
        <x:f>H25*C161</x:f>
        <x:v>0</x:v>
      </x:c>
      <x:c r="H161" s="1"/>
      <x:c r="I161" s="1"/>
      <x:c r="J161" s="36">
        <x:f>F161+I161-G161-H161</x:f>
        <x:v>4</x:v>
      </x:c>
      <x:c r="K161" s="37">
        <x:f>J161/C161</x:f>
        <x:v>2</x:v>
      </x:c>
      <x:c r="L161" s="25" t="str">
        <x:f>IF(J161&lt;M161,119,"")</x:f>
        <x:v/>
      </x:c>
      <x:c r="M161" s="34">
        <x:f>P25*C161</x:f>
        <x:v>0</x:v>
      </x:c>
      <x:c r="N161" s="35">
        <x:f>J161-M161</x:f>
        <x:v>4</x:v>
      </x:c>
    </x:row>
    <x:row r="162" spans="1:14" customFormat="1" ht="18" customHeight="1">
      <x:c r="A162" s="15" t="s">
        <x:v>240</x:v>
      </x:c>
      <x:c r="B162" s="14" t="s">
        <x:v>181</x:v>
      </x:c>
      <x:c r="C162" s="6">
        <x:v>2</x:v>
      </x:c>
      <x:c r="D162" s="14" t="s">
        <x:v>262</x:v>
      </x:c>
      <x:c r="E162" s="1" t="s">
        <x:v>235</x:v>
      </x:c>
      <x:c r="F162" s="33">
        <x:f>'2026.9.9'!J110</x:f>
        <x:v>92</x:v>
      </x:c>
      <x:c r="G162" s="39">
        <x:f>SUM(H4:H15)*C162</x:f>
        <x:v>0</x:v>
      </x:c>
      <x:c r="H162" s="1"/>
      <x:c r="I162" s="1"/>
      <x:c r="J162" s="36">
        <x:f>F162+I162-G162-H162</x:f>
        <x:v>92</x:v>
      </x:c>
      <x:c r="K162" s="37">
        <x:f>J162/C162</x:f>
        <x:v>46</x:v>
      </x:c>
      <x:c r="L162" s="25">
        <x:f>IF(J162&lt;M162,119,"")</x:f>
        <x:v>119</x:v>
      </x:c>
      <x:c r="M162" s="34">
        <x:f>SUM(P4:P16)*C162</x:f>
        <x:v>128</x:v>
      </x:c>
      <x:c r="N162" s="35">
        <x:f>J162-M162</x:f>
        <x:v>-36</x:v>
      </x:c>
    </x:row>
    <x:row r="163" spans="1:14" customFormat="1" ht="18" customHeight="1">
      <x:c r="A163" s="15" t="s">
        <x:v>240</x:v>
      </x:c>
      <x:c r="B163" s="14" t="s">
        <x:v>181</x:v>
      </x:c>
      <x:c r="C163" s="6">
        <x:v>2</x:v>
      </x:c>
      <x:c r="D163" s="14" t="s">
        <x:v>249</x:v>
      </x:c>
      <x:c r="E163" s="1" t="s">
        <x:v>238</x:v>
      </x:c>
      <x:c r="F163" s="33">
        <x:f>'2026.9.9'!J111</x:f>
        <x:v>32</x:v>
      </x:c>
      <x:c r="G163" s="39">
        <x:f>SUM(H17:H20)*C163</x:f>
        <x:v>0</x:v>
      </x:c>
      <x:c r="H163" s="1"/>
      <x:c r="I163" s="1"/>
      <x:c r="J163" s="36">
        <x:f>F163+I163-G163-H163</x:f>
        <x:v>32</x:v>
      </x:c>
      <x:c r="K163" s="37">
        <x:f>J163/C163</x:f>
        <x:v>16</x:v>
      </x:c>
      <x:c r="L163" s="25">
        <x:f>IF(J163&lt;M163,119,"")</x:f>
        <x:v>119</x:v>
      </x:c>
      <x:c r="M163" s="34">
        <x:f>SUM(P17:P20)*C163</x:f>
        <x:v>38</x:v>
      </x:c>
      <x:c r="N163" s="35">
        <x:f>J163-M163</x:f>
        <x:v>-6</x:v>
      </x:c>
    </x:row>
    <x:row r="164" spans="1:14" customFormat="1" ht="18" customHeight="1">
      <x:c r="A164" s="15" t="s">
        <x:v>240</x:v>
      </x:c>
      <x:c r="B164" s="14" t="s">
        <x:v>181</x:v>
      </x:c>
      <x:c r="C164" s="6">
        <x:v>2</x:v>
      </x:c>
      <x:c r="D164" s="14" t="s">
        <x:v>70</x:v>
      </x:c>
      <x:c r="E164" s="1" t="s">
        <x:v>100</x:v>
      </x:c>
      <x:c r="F164" s="33">
        <x:f>'2026.9.9'!J112</x:f>
        <x:v>32</x:v>
      </x:c>
      <x:c r="G164" s="39">
        <x:f>SUM(H21)*C164</x:f>
        <x:v>0</x:v>
      </x:c>
      <x:c r="H164" s="1"/>
      <x:c r="I164" s="1"/>
      <x:c r="J164" s="36">
        <x:f>F164+I164-G164-H164</x:f>
        <x:v>32</x:v>
      </x:c>
      <x:c r="K164" s="37">
        <x:f>J164/C164</x:f>
        <x:v>16</x:v>
      </x:c>
      <x:c r="L164" s="25">
        <x:f>IF(J164&lt;M164,119,"")</x:f>
        <x:v>119</x:v>
      </x:c>
      <x:c r="M164" s="34">
        <x:f>P21*C164</x:f>
        <x:v>34</x:v>
      </x:c>
      <x:c r="N164" s="35">
        <x:f>J164-M164</x:f>
        <x:v>-2</x:v>
      </x:c>
    </x:row>
    <x:row r="165" spans="1:14" customFormat="1" ht="18" customHeight="1">
      <x:c r="A165" s="15" t="s">
        <x:v>240</x:v>
      </x:c>
      <x:c r="B165" s="14" t="s">
        <x:v>181</x:v>
      </x:c>
      <x:c r="C165" s="6">
        <x:v>2</x:v>
      </x:c>
      <x:c r="D165" s="14" t="s">
        <x:v>22</x:v>
      </x:c>
      <x:c r="E165" s="1" t="s">
        <x:v>116</x:v>
      </x:c>
      <x:c r="F165" s="33">
        <x:f>'2026.9.9'!J113</x:f>
        <x:v>0</x:v>
      </x:c>
      <x:c r="G165" s="39">
        <x:f>H24*C165</x:f>
        <x:v>0</x:v>
      </x:c>
      <x:c r="H165" s="1"/>
      <x:c r="I165" s="1"/>
      <x:c r="J165" s="36">
        <x:f>F165+I165-G165-H165</x:f>
        <x:v>0</x:v>
      </x:c>
      <x:c r="K165" s="37">
        <x:f>J165/C165</x:f>
        <x:v>0</x:v>
      </x:c>
      <x:c r="L165" s="25" t="str">
        <x:f>IF(J165&lt;M165,119,"")</x:f>
        <x:v/>
      </x:c>
      <x:c r="M165" s="34">
        <x:f>P24*C165</x:f>
        <x:v>0</x:v>
      </x:c>
      <x:c r="N165" s="35">
        <x:f>J165-M165</x:f>
        <x:v>0</x:v>
      </x:c>
    </x:row>
    <x:row r="166" spans="1:14" customFormat="1" ht="18" customHeight="1">
      <x:c r="A166" s="15" t="s">
        <x:v>240</x:v>
      </x:c>
      <x:c r="B166" s="14" t="s">
        <x:v>181</x:v>
      </x:c>
      <x:c r="C166" s="6">
        <x:v>2</x:v>
      </x:c>
      <x:c r="D166" s="14" t="s">
        <x:v>96</x:v>
      </x:c>
      <x:c r="E166" s="1" t="s">
        <x:v>91</x:v>
      </x:c>
      <x:c r="F166" s="33">
        <x:f>'2026.9.9'!J114</x:f>
        <x:v>5</x:v>
      </x:c>
      <x:c r="G166" s="39">
        <x:f>H25*C166</x:f>
        <x:v>0</x:v>
      </x:c>
      <x:c r="H166" s="1"/>
      <x:c r="I166" s="1"/>
      <x:c r="J166" s="36">
        <x:f>F166+I166-G166-H166</x:f>
        <x:v>5</x:v>
      </x:c>
      <x:c r="K166" s="37">
        <x:f>J166/C166</x:f>
        <x:v>2.5</x:v>
      </x:c>
      <x:c r="L166" s="25" t="str">
        <x:f>IF(J166&lt;M166,119,"")</x:f>
        <x:v/>
      </x:c>
      <x:c r="M166" s="34">
        <x:f>P25*C166</x:f>
        <x:v>0</x:v>
      </x:c>
      <x:c r="N166" s="35">
        <x:f>J166-M166</x:f>
        <x:v>5</x:v>
      </x:c>
    </x:row>
    <x:row r="167" spans="1:14" customFormat="1" ht="18" customHeight="1">
      <x:c r="A167" s="15" t="s">
        <x:v>10</x:v>
      </x:c>
      <x:c r="B167" s="14" t="s">
        <x:v>181</x:v>
      </x:c>
      <x:c r="C167" s="6">
        <x:v>1</x:v>
      </x:c>
      <x:c r="D167" s="14" t="s">
        <x:v>268</x:v>
      </x:c>
      <x:c r="E167" s="1" t="s">
        <x:v>40</x:v>
      </x:c>
      <x:c r="F167" s="33">
        <x:f>'2026.9.9'!J115</x:f>
        <x:v>67</x:v>
      </x:c>
      <x:c r="G167" s="39">
        <x:f>SUM(H4:H20)*C167</x:f>
        <x:v>0</x:v>
      </x:c>
      <x:c r="H167" s="1"/>
      <x:c r="I167" s="1"/>
      <x:c r="J167" s="36">
        <x:f>F167+I167-G167-H167</x:f>
        <x:v>67</x:v>
      </x:c>
      <x:c r="K167" s="37">
        <x:f>J167/C167</x:f>
        <x:v>67</x:v>
      </x:c>
      <x:c r="L167" s="25">
        <x:f>IF(J167&lt;M167,119,"")</x:f>
        <x:v>119</x:v>
      </x:c>
      <x:c r="M167" s="34">
        <x:f>SUM(P4:P20)*C167</x:f>
        <x:v>83</x:v>
      </x:c>
      <x:c r="N167" s="35">
        <x:f>J167-M167</x:f>
        <x:v>-16</x:v>
      </x:c>
    </x:row>
    <x:row r="168" spans="1:14" customFormat="1" ht="18" customHeight="1">
      <x:c r="A168" s="15" t="s">
        <x:v>10</x:v>
      </x:c>
      <x:c r="B168" s="14" t="s">
        <x:v>181</x:v>
      </x:c>
      <x:c r="C168" s="6">
        <x:v>1</x:v>
      </x:c>
      <x:c r="D168" s="14" t="s">
        <x:v>70</x:v>
      </x:c>
      <x:c r="E168" s="1" t="s">
        <x:v>100</x:v>
      </x:c>
      <x:c r="F168" s="33">
        <x:f>'2026.9.9'!J116</x:f>
        <x:v>18</x:v>
      </x:c>
      <x:c r="G168" s="39">
        <x:f>SUM(G21)*C168</x:f>
        <x:v>0</x:v>
      </x:c>
      <x:c r="H168" s="1"/>
      <x:c r="I168" s="1"/>
      <x:c r="J168" s="36">
        <x:f>F168+I168-G168-H168</x:f>
        <x:v>18</x:v>
      </x:c>
      <x:c r="K168" s="37">
        <x:f>J168/C168</x:f>
        <x:v>18</x:v>
      </x:c>
      <x:c r="L168" s="25" t="str">
        <x:f>IF(J168&lt;M168,119,"")</x:f>
        <x:v/>
      </x:c>
      <x:c r="M168" s="34">
        <x:f>P21*C168</x:f>
        <x:v>17</x:v>
      </x:c>
      <x:c r="N168" s="35">
        <x:f>J168-M168</x:f>
        <x:v>1</x:v>
      </x:c>
    </x:row>
    <x:row r="169" spans="1:14" customFormat="1" ht="18" customHeight="1">
      <x:c r="A169" s="15" t="s">
        <x:v>10</x:v>
      </x:c>
      <x:c r="B169" s="14" t="s">
        <x:v>181</x:v>
      </x:c>
      <x:c r="C169" s="6">
        <x:v>1</x:v>
      </x:c>
      <x:c r="D169" s="14" t="s">
        <x:v>244</x:v>
      </x:c>
      <x:c r="E169" s="1" t="s">
        <x:v>89</x:v>
      </x:c>
      <x:c r="F169" s="33">
        <x:f>'2026.9.9'!J117</x:f>
        <x:v>0</x:v>
      </x:c>
      <x:c r="G169" s="39">
        <x:f>H22</x:f>
        <x:v>0</x:v>
      </x:c>
      <x:c r="H169" s="1"/>
      <x:c r="I169" s="1"/>
      <x:c r="J169" s="36">
        <x:f>F169+I169-G169-H169</x:f>
        <x:v>0</x:v>
      </x:c>
      <x:c r="K169" s="37">
        <x:f>J169/C169</x:f>
        <x:v>0</x:v>
      </x:c>
      <x:c r="L169" s="25" t="str">
        <x:f>IF(J169&lt;M169,119,"")</x:f>
        <x:v/>
      </x:c>
      <x:c r="M169" s="34">
        <x:f>P22*C169</x:f>
        <x:v>0</x:v>
      </x:c>
      <x:c r="N169" s="35">
        <x:f>J169-M169</x:f>
        <x:v>0</x:v>
      </x:c>
    </x:row>
    <x:row r="170" spans="1:14" customFormat="1" ht="18" customHeight="1">
      <x:c r="A170" s="15" t="s">
        <x:v>10</x:v>
      </x:c>
      <x:c r="B170" s="14" t="s">
        <x:v>181</x:v>
      </x:c>
      <x:c r="C170" s="6">
        <x:v>1</x:v>
      </x:c>
      <x:c r="D170" s="14" t="s">
        <x:v>247</x:v>
      </x:c>
      <x:c r="E170" s="1" t="s">
        <x:v>86</x:v>
      </x:c>
      <x:c r="F170" s="33">
        <x:f>'2026.9.9'!J118</x:f>
        <x:v>0</x:v>
      </x:c>
      <x:c r="G170" s="39">
        <x:f>H23</x:f>
        <x:v>0</x:v>
      </x:c>
      <x:c r="H170" s="1"/>
      <x:c r="I170" s="1"/>
      <x:c r="J170" s="36">
        <x:f>F170+I170-G170-H170</x:f>
        <x:v>0</x:v>
      </x:c>
      <x:c r="K170" s="37">
        <x:f>J170/C170</x:f>
        <x:v>0</x:v>
      </x:c>
      <x:c r="L170" s="25" t="str">
        <x:f>IF(J170&lt;M170,119,"")</x:f>
        <x:v/>
      </x:c>
      <x:c r="M170" s="34">
        <x:f>P23*C170</x:f>
        <x:v>0</x:v>
      </x:c>
      <x:c r="N170" s="35">
        <x:f>J170-M170</x:f>
        <x:v>0</x:v>
      </x:c>
    </x:row>
    <x:row r="171" spans="1:14" customFormat="1" ht="18" customHeight="1">
      <x:c r="A171" s="15" t="s">
        <x:v>10</x:v>
      </x:c>
      <x:c r="B171" s="14" t="s">
        <x:v>181</x:v>
      </x:c>
      <x:c r="C171" s="6">
        <x:v>1</x:v>
      </x:c>
      <x:c r="D171" s="14" t="s">
        <x:v>11</x:v>
      </x:c>
      <x:c r="E171" s="1" t="s">
        <x:v>109</x:v>
      </x:c>
      <x:c r="F171" s="33">
        <x:f>'2026.9.9'!J119</x:f>
        <x:v>2</x:v>
      </x:c>
      <x:c r="G171" s="39">
        <x:f>SUM(H24:H25)*C171</x:f>
        <x:v>0</x:v>
      </x:c>
      <x:c r="H171" s="1"/>
      <x:c r="I171" s="1"/>
      <x:c r="J171" s="36">
        <x:f>F171+I171-G171-H171</x:f>
        <x:v>2</x:v>
      </x:c>
      <x:c r="K171" s="37">
        <x:f>J171/C171</x:f>
        <x:v>2</x:v>
      </x:c>
      <x:c r="L171" s="25" t="str">
        <x:f>IF(J171&lt;M171,119,"")</x:f>
        <x:v/>
      </x:c>
      <x:c r="M171" s="34">
        <x:f>SUM(P24:P25)*C171</x:f>
        <x:v>0</x:v>
      </x:c>
      <x:c r="N171" s="35">
        <x:f>J171-M171</x:f>
        <x:v>2</x:v>
      </x:c>
    </x:row>
    <x:row r="172" spans="1:14" customFormat="1" ht="18" customHeight="1">
      <x:c r="A172" s="15" t="s">
        <x:v>10</x:v>
      </x:c>
      <x:c r="B172" s="14" t="s">
        <x:v>137</x:v>
      </x:c>
      <x:c r="C172" s="6">
        <x:v>1</x:v>
      </x:c>
      <x:c r="D172" s="14" t="s">
        <x:v>83</x:v>
      </x:c>
      <x:c r="E172" s="1"/>
      <x:c r="F172" s="33">
        <x:f>'2026.9.9'!J120</x:f>
        <x:v>0</x:v>
      </x:c>
      <x:c r="G172" s="39">
        <x:f>J6*C172</x:f>
        <x:v>0</x:v>
      </x:c>
      <x:c r="H172" s="1"/>
      <x:c r="I172" s="1"/>
      <x:c r="J172" s="36">
        <x:f>F172+I172-G172-H172</x:f>
        <x:v>0</x:v>
      </x:c>
      <x:c r="K172" s="37">
        <x:f>J172/C172</x:f>
        <x:v>0</x:v>
      </x:c>
      <x:c r="L172" s="25">
        <x:f>IF(J172&lt;M172,119,"")</x:f>
        <x:v>119</x:v>
      </x:c>
      <x:c r="M172" s="34">
        <x:f>R6*C172</x:f>
        <x:v>13</x:v>
      </x:c>
      <x:c r="N172" s="35">
        <x:f>J172-M172</x:f>
        <x:v>-13</x:v>
      </x:c>
    </x:row>
    <x:row r="173" spans="1:14" customFormat="1" ht="18" customHeight="1">
      <x:c r="A173" s="15" t="s">
        <x:v>10</x:v>
      </x:c>
      <x:c r="B173" s="14" t="s">
        <x:v>137</x:v>
      </x:c>
      <x:c r="C173" s="6">
        <x:v>1</x:v>
      </x:c>
      <x:c r="D173" s="14" t="s">
        <x:v>41</x:v>
      </x:c>
      <x:c r="E173" s="1"/>
      <x:c r="F173" s="33">
        <x:f>'2026.9.9'!J121</x:f>
        <x:v>0</x:v>
      </x:c>
      <x:c r="G173" s="39">
        <x:f>J7*C173</x:f>
        <x:v>0</x:v>
      </x:c>
      <x:c r="H173" s="1"/>
      <x:c r="I173" s="1"/>
      <x:c r="J173" s="36">
        <x:f>F173+I173-G173-H173</x:f>
        <x:v>0</x:v>
      </x:c>
      <x:c r="K173" s="37">
        <x:f>J173/C173</x:f>
        <x:v>0</x:v>
      </x:c>
      <x:c r="L173" s="25" t="str">
        <x:f>IF(J173&lt;M173,119,"")</x:f>
        <x:v/>
      </x:c>
      <x:c r="M173" s="34">
        <x:f>R7*C173</x:f>
        <x:v>0</x:v>
      </x:c>
      <x:c r="N173" s="35">
        <x:f>J173-M173</x:f>
        <x:v>0</x:v>
      </x:c>
    </x:row>
    <x:row r="174" spans="1:14" customFormat="1" ht="18" customHeight="1">
      <x:c r="A174" s="15" t="s">
        <x:v>10</x:v>
      </x:c>
      <x:c r="B174" s="14" t="s">
        <x:v>143</x:v>
      </x:c>
      <x:c r="C174" s="6">
        <x:v>1</x:v>
      </x:c>
      <x:c r="D174" s="14" t="s">
        <x:v>47</x:v>
      </x:c>
      <x:c r="E174" s="1" t="s">
        <x:v>113</x:v>
      </x:c>
      <x:c r="F174" s="33">
        <x:f>'2026.9.9'!J122</x:f>
        <x:v>7</x:v>
      </x:c>
      <x:c r="G174" s="39">
        <x:f>J8*C174</x:f>
        <x:v>0</x:v>
      </x:c>
      <x:c r="H174" s="1"/>
      <x:c r="I174" s="1"/>
      <x:c r="J174" s="36">
        <x:f>F174+I174-G174-H174</x:f>
        <x:v>7</x:v>
      </x:c>
      <x:c r="K174" s="37">
        <x:f>J174/C174</x:f>
        <x:v>7</x:v>
      </x:c>
      <x:c r="L174" s="25">
        <x:f>IF(J174&lt;M174,119,"")</x:f>
        <x:v>119</x:v>
      </x:c>
      <x:c r="M174" s="34">
        <x:f>R8*C174</x:f>
        <x:v>10</x:v>
      </x:c>
      <x:c r="N174" s="35">
        <x:f>J174-M174</x:f>
        <x:v>-3</x:v>
      </x:c>
    </x:row>
    <x:row r="175" spans="1:14" customFormat="1" ht="18" customHeight="1">
      <x:c r="A175" s="15" t="s">
        <x:v>10</x:v>
      </x:c>
      <x:c r="B175" s="14" t="s">
        <x:v>143</x:v>
      </x:c>
      <x:c r="C175" s="6">
        <x:v>1</x:v>
      </x:c>
      <x:c r="D175" s="9" t="s">
        <x:v>73</x:v>
      </x:c>
      <x:c r="E175" s="1" t="s">
        <x:v>105</x:v>
      </x:c>
      <x:c r="F175" s="33">
        <x:f>'2026.9.9'!J123</x:f>
        <x:v>2</x:v>
      </x:c>
      <x:c r="G175" s="39">
        <x:f>J9*C175</x:f>
        <x:v>2</x:v>
      </x:c>
      <x:c r="H175" s="1"/>
      <x:c r="I175" s="1"/>
      <x:c r="J175" s="36">
        <x:f>F175+I175-G175-H175</x:f>
        <x:v>0</x:v>
      </x:c>
      <x:c r="K175" s="37">
        <x:f>J175/C175</x:f>
        <x:v>0</x:v>
      </x:c>
      <x:c r="L175" s="25">
        <x:f>IF(J175&lt;M175,119,"")</x:f>
        <x:v>119</x:v>
      </x:c>
      <x:c r="M175" s="34">
        <x:f>R9*C175</x:f>
        <x:v>10</x:v>
      </x:c>
      <x:c r="N175" s="35">
        <x:f>J175-M175</x:f>
        <x:v>-10</x:v>
      </x:c>
    </x:row>
    <x:row r="176" spans="1:14" customFormat="1" ht="18" customHeight="1">
      <x:c r="A176" s="15" t="s">
        <x:v>34</x:v>
      </x:c>
      <x:c r="B176" s="14" t="s">
        <x:v>181</x:v>
      </x:c>
      <x:c r="C176" s="6">
        <x:v>1</x:v>
      </x:c>
      <x:c r="D176" s="14" t="s">
        <x:v>268</x:v>
      </x:c>
      <x:c r="E176" s="1" t="s">
        <x:v>207</x:v>
      </x:c>
      <x:c r="F176" s="33">
        <x:f>'2026.9.9'!J124</x:f>
        <x:v>46</x:v>
      </x:c>
      <x:c r="G176" s="39">
        <x:f>SUM(H4:H20)*C176</x:f>
        <x:v>0</x:v>
      </x:c>
      <x:c r="H176" s="1"/>
      <x:c r="I176" s="1"/>
      <x:c r="J176" s="36">
        <x:f>F176+I176-G176-H176</x:f>
        <x:v>46</x:v>
      </x:c>
      <x:c r="K176" s="37">
        <x:f>J176/C176</x:f>
        <x:v>46</x:v>
      </x:c>
      <x:c r="L176" s="25">
        <x:f>IF(J176&lt;M176,119,"")</x:f>
        <x:v>119</x:v>
      </x:c>
      <x:c r="M176" s="34">
        <x:f>SUM(P4:P20)*C176</x:f>
        <x:v>83</x:v>
      </x:c>
      <x:c r="N176" s="35">
        <x:f>J176-M176</x:f>
        <x:v>-37</x:v>
      </x:c>
    </x:row>
    <x:row r="177" spans="1:14" customFormat="1" ht="18" customHeight="1">
      <x:c r="A177" s="15" t="s">
        <x:v>34</x:v>
      </x:c>
      <x:c r="B177" s="14" t="s">
        <x:v>181</x:v>
      </x:c>
      <x:c r="C177" s="6">
        <x:v>1</x:v>
      </x:c>
      <x:c r="D177" s="14" t="s">
        <x:v>70</x:v>
      </x:c>
      <x:c r="E177" s="1" t="s">
        <x:v>190</x:v>
      </x:c>
      <x:c r="F177" s="33">
        <x:f>'2026.9.9'!J125</x:f>
        <x:v>78</x:v>
      </x:c>
      <x:c r="G177" s="39">
        <x:f>SUM(H21)*C177</x:f>
        <x:v>0</x:v>
      </x:c>
      <x:c r="H177" s="1"/>
      <x:c r="I177" s="1"/>
      <x:c r="J177" s="36">
        <x:f>F177+I177-G177-H177</x:f>
        <x:v>78</x:v>
      </x:c>
      <x:c r="K177" s="37">
        <x:f>J177/C177</x:f>
        <x:v>78</x:v>
      </x:c>
      <x:c r="L177" s="25" t="str">
        <x:f>IF(J177&lt;M177,119,"")</x:f>
        <x:v/>
      </x:c>
      <x:c r="M177" s="34">
        <x:f>P21*C177</x:f>
        <x:v>17</x:v>
      </x:c>
      <x:c r="N177" s="35">
        <x:f>J177-M177</x:f>
        <x:v>61</x:v>
      </x:c>
    </x:row>
    <x:row r="178" spans="1:14" customFormat="1" ht="18" customHeight="1">
      <x:c r="A178" s="15" t="s">
        <x:v>34</x:v>
      </x:c>
      <x:c r="B178" s="14" t="s">
        <x:v>181</x:v>
      </x:c>
      <x:c r="C178" s="6">
        <x:v>1</x:v>
      </x:c>
      <x:c r="D178" s="14" t="s">
        <x:v>276</x:v>
      </x:c>
      <x:c r="E178" s="1" t="s">
        <x:v>111</x:v>
      </x:c>
      <x:c r="F178" s="33">
        <x:f>'2026.9.9'!J126</x:f>
        <x:v>0</x:v>
      </x:c>
      <x:c r="G178" s="39">
        <x:f>SUM(H22:H23)*C178</x:f>
        <x:v>0</x:v>
      </x:c>
      <x:c r="H178" s="1"/>
      <x:c r="I178" s="1"/>
      <x:c r="J178" s="36">
        <x:f>F178+I178-G178-H178</x:f>
        <x:v>0</x:v>
      </x:c>
      <x:c r="K178" s="37">
        <x:f>J178/C178</x:f>
        <x:v>0</x:v>
      </x:c>
      <x:c r="L178" s="25" t="str">
        <x:f>IF(J178&lt;M178,119,"")</x:f>
        <x:v/>
      </x:c>
      <x:c r="M178" s="34">
        <x:f>SUM(P22:P23)*C178</x:f>
        <x:v>0</x:v>
      </x:c>
      <x:c r="N178" s="35">
        <x:f>J178-M178</x:f>
        <x:v>0</x:v>
      </x:c>
    </x:row>
    <x:row r="179" spans="1:14" customFormat="1" ht="18" customHeight="1">
      <x:c r="A179" s="15" t="s">
        <x:v>34</x:v>
      </x:c>
      <x:c r="B179" s="14" t="s">
        <x:v>181</x:v>
      </x:c>
      <x:c r="C179" s="6">
        <x:v>1</x:v>
      </x:c>
      <x:c r="D179" s="14" t="s">
        <x:v>11</x:v>
      </x:c>
      <x:c r="E179" s="1" t="s">
        <x:v>115</x:v>
      </x:c>
      <x:c r="F179" s="33">
        <x:f>'2026.9.9'!J127</x:f>
        <x:v>2</x:v>
      </x:c>
      <x:c r="G179" s="39">
        <x:f>SUM(H24:H25)*C179</x:f>
        <x:v>0</x:v>
      </x:c>
      <x:c r="H179" s="1"/>
      <x:c r="I179" s="1"/>
      <x:c r="J179" s="36">
        <x:f>F179+I179-G179-H179</x:f>
        <x:v>2</x:v>
      </x:c>
      <x:c r="K179" s="37">
        <x:f>J179/C179</x:f>
        <x:v>2</x:v>
      </x:c>
      <x:c r="L179" s="25" t="str">
        <x:f>IF(J179&lt;M179,119,"")</x:f>
        <x:v/>
      </x:c>
      <x:c r="M179" s="34">
        <x:f>SUM(P24:P25)*C179</x:f>
        <x:v>0</x:v>
      </x:c>
      <x:c r="N179" s="35">
        <x:f>J179-M179</x:f>
        <x:v>2</x:v>
      </x:c>
    </x:row>
    <x:row r="180" spans="1:14" customFormat="1" ht="18" customHeight="1">
      <x:c r="A180" s="15" t="s">
        <x:v>29</x:v>
      </x:c>
      <x:c r="B180" s="14" t="s">
        <x:v>137</x:v>
      </x:c>
      <x:c r="C180" s="1">
        <x:v>1</x:v>
      </x:c>
      <x:c r="D180" s="14" t="s">
        <x:v>244</x:v>
      </x:c>
      <x:c r="E180" s="1" t="s">
        <x:v>227</x:v>
      </x:c>
      <x:c r="F180" s="33">
        <x:f>'2026.9.9'!J128</x:f>
        <x:v>0</x:v>
      </x:c>
      <x:c r="G180" s="39">
        <x:f>H22*C180</x:f>
        <x:v>0</x:v>
      </x:c>
      <x:c r="H180" s="1"/>
      <x:c r="I180" s="1"/>
      <x:c r="J180" s="36">
        <x:f>F180+I180-G180-H180</x:f>
        <x:v>0</x:v>
      </x:c>
      <x:c r="K180" s="37">
        <x:f>J180/C180</x:f>
        <x:v>0</x:v>
      </x:c>
      <x:c r="L180" s="25" t="str">
        <x:f>IF(J180&lt;M180,119,"")</x:f>
        <x:v/>
      </x:c>
      <x:c r="M180" s="34">
        <x:f>P22*C180</x:f>
        <x:v>0</x:v>
      </x:c>
      <x:c r="N180" s="35">
        <x:f>J180-M180</x:f>
        <x:v>0</x:v>
      </x:c>
    </x:row>
    <x:row r="181" spans="1:14" customFormat="1" ht="18" customHeight="1">
      <x:c r="A181" s="15" t="s">
        <x:v>29</x:v>
      </x:c>
      <x:c r="B181" s="14" t="s">
        <x:v>137</x:v>
      </x:c>
      <x:c r="C181" s="1">
        <x:v>1</x:v>
      </x:c>
      <x:c r="D181" s="14" t="s">
        <x:v>247</x:v>
      </x:c>
      <x:c r="E181" s="1" t="s">
        <x:v>195</x:v>
      </x:c>
      <x:c r="F181" s="33">
        <x:f>'2026.9.9'!J129</x:f>
        <x:v>0</x:v>
      </x:c>
      <x:c r="G181" s="39">
        <x:f>H23*C181</x:f>
        <x:v>0</x:v>
      </x:c>
      <x:c r="H181" s="1"/>
      <x:c r="I181" s="1"/>
      <x:c r="J181" s="36">
        <x:f>F181+I181-G181-H181</x:f>
        <x:v>0</x:v>
      </x:c>
      <x:c r="K181" s="37">
        <x:f>J181/C181</x:f>
        <x:v>0</x:v>
      </x:c>
      <x:c r="L181" s="25" t="str">
        <x:f>IF(J181&lt;M181,119,"")</x:f>
        <x:v/>
      </x:c>
      <x:c r="M181" s="34">
        <x:f>P23*C181</x:f>
        <x:v>0</x:v>
      </x:c>
      <x:c r="N181" s="35">
        <x:f>J181-M181</x:f>
        <x:v>0</x:v>
      </x:c>
    </x:row>
    <x:row r="182" spans="1:14" ht="18" customHeight="1">
      <x:c r="A182" s="15" t="s">
        <x:v>29</x:v>
      </x:c>
      <x:c r="B182" s="14" t="s">
        <x:v>137</x:v>
      </x:c>
      <x:c r="C182" s="1">
        <x:v>1</x:v>
      </x:c>
      <x:c r="D182" s="9" t="s">
        <x:v>83</x:v>
      </x:c>
      <x:c r="E182" s="1" t="s">
        <x:v>126</x:v>
      </x:c>
      <x:c r="F182" s="33">
        <x:f>'2026.9.9'!J130</x:f>
        <x:v>0</x:v>
      </x:c>
      <x:c r="G182" s="39">
        <x:f>J6*C182</x:f>
        <x:v>0</x:v>
      </x:c>
      <x:c r="J182" s="36">
        <x:f>F182+I182-G182-H182</x:f>
        <x:v>0</x:v>
      </x:c>
      <x:c r="K182" s="37">
        <x:f>J182/C182</x:f>
        <x:v>0</x:v>
      </x:c>
      <x:c r="L182" s="25">
        <x:f>IF(J182&lt;M182,119,"")</x:f>
        <x:v>119</x:v>
      </x:c>
      <x:c r="M182" s="34">
        <x:f>R6*C182</x:f>
        <x:v>13</x:v>
      </x:c>
      <x:c r="N182" s="35">
        <x:f>J182-M182</x:f>
        <x:v>-13</x:v>
      </x:c>
    </x:row>
    <x:row r="183" spans="1:14" ht="18" customHeight="1">
      <x:c r="A183" s="15" t="s">
        <x:v>29</x:v>
      </x:c>
      <x:c r="B183" s="14" t="s">
        <x:v>137</x:v>
      </x:c>
      <x:c r="C183" s="1">
        <x:v>1</x:v>
      </x:c>
      <x:c r="D183" s="9" t="s">
        <x:v>41</x:v>
      </x:c>
      <x:c r="E183" s="1" t="s">
        <x:v>131</x:v>
      </x:c>
      <x:c r="F183" s="33">
        <x:f>'2026.9.9'!J131</x:f>
        <x:v>3</x:v>
      </x:c>
      <x:c r="G183" s="39">
        <x:f>J7*C183</x:f>
        <x:v>0</x:v>
      </x:c>
      <x:c r="J183" s="36">
        <x:f>F183+I183-G183-H183</x:f>
        <x:v>3</x:v>
      </x:c>
      <x:c r="K183" s="37">
        <x:f>J183/C183</x:f>
        <x:v>3</x:v>
      </x:c>
      <x:c r="L183" s="25" t="str">
        <x:f>IF(J183&lt;M183,119,"")</x:f>
        <x:v/>
      </x:c>
      <x:c r="M183" s="34">
        <x:f>R7*C183</x:f>
        <x:v>0</x:v>
      </x:c>
      <x:c r="N183" s="35">
        <x:f>J183-M183</x:f>
        <x:v>3</x:v>
      </x:c>
    </x:row>
    <x:row r="184" spans="1:14" ht="18" customHeight="1">
      <x:c r="A184" s="15" t="s">
        <x:v>29</x:v>
      </x:c>
      <x:c r="B184" s="14" t="s">
        <x:v>137</x:v>
      </x:c>
      <x:c r="C184" s="1">
        <x:v>1</x:v>
      </x:c>
      <x:c r="D184" s="9" t="s">
        <x:v>47</x:v>
      </x:c>
      <x:c r="E184" s="1" t="s">
        <x:v>136</x:v>
      </x:c>
      <x:c r="F184" s="33">
        <x:f>'2026.9.9'!J132</x:f>
        <x:v>8</x:v>
      </x:c>
      <x:c r="G184" s="39">
        <x:f>J8*C184</x:f>
        <x:v>0</x:v>
      </x:c>
      <x:c r="J184" s="36">
        <x:f>F184+I184-G184-H184</x:f>
        <x:v>8</x:v>
      </x:c>
      <x:c r="K184" s="37">
        <x:f>J184/C184</x:f>
        <x:v>8</x:v>
      </x:c>
      <x:c r="L184" s="25">
        <x:f>IF(J184&lt;M184,119,"")</x:f>
        <x:v>119</x:v>
      </x:c>
      <x:c r="M184" s="34">
        <x:f>R8*C184</x:f>
        <x:v>10</x:v>
      </x:c>
      <x:c r="N184" s="35">
        <x:f>J184-M184</x:f>
        <x:v>-2</x:v>
      </x:c>
    </x:row>
    <x:row r="185" spans="1:14" ht="18" customHeight="1">
      <x:c r="A185" s="15" t="s">
        <x:v>29</x:v>
      </x:c>
      <x:c r="B185" s="14" t="s">
        <x:v>137</x:v>
      </x:c>
      <x:c r="C185" s="1">
        <x:v>1</x:v>
      </x:c>
      <x:c r="D185" s="9" t="s">
        <x:v>73</x:v>
      </x:c>
      <x:c r="E185" s="1" t="s">
        <x:v>136</x:v>
      </x:c>
      <x:c r="F185" s="33">
        <x:f>'2026.9.9'!J133</x:f>
        <x:v>2</x:v>
      </x:c>
      <x:c r="G185" s="39">
        <x:f>J9*C185</x:f>
        <x:v>2</x:v>
      </x:c>
      <x:c r="J185" s="36">
        <x:f>F185+I185-G185-H185</x:f>
        <x:v>0</x:v>
      </x:c>
      <x:c r="K185" s="37">
        <x:f>J185/C185</x:f>
        <x:v>0</x:v>
      </x:c>
      <x:c r="L185" s="25">
        <x:f>IF(J185&lt;M185,119,"")</x:f>
        <x:v>119</x:v>
      </x:c>
      <x:c r="M185" s="34">
        <x:f>R9*C185</x:f>
        <x:v>10</x:v>
      </x:c>
      <x:c r="N185" s="35">
        <x:f>J185-M185</x:f>
        <x:v>-10</x:v>
      </x:c>
    </x:row>
    <x:row r="186" spans="1:14" customFormat="1" ht="18" customHeight="1">
      <x:c r="A186" s="15" t="s">
        <x:v>81</x:v>
      </x:c>
      <x:c r="B186" s="14" t="s">
        <x:v>143</x:v>
      </x:c>
      <x:c r="C186" s="1">
        <x:v>1</x:v>
      </x:c>
      <x:c r="D186" s="14" t="s">
        <x:v>244</x:v>
      </x:c>
      <x:c r="E186" s="1" t="s">
        <x:v>182</x:v>
      </x:c>
      <x:c r="F186" s="33">
        <x:f>'2026.9.9'!J134</x:f>
        <x:v>0</x:v>
      </x:c>
      <x:c r="G186" s="39">
        <x:f>H22*C186</x:f>
        <x:v>0</x:v>
      </x:c>
      <x:c r="H186" s="1"/>
      <x:c r="I186" s="1"/>
      <x:c r="J186" s="36">
        <x:f>F186+I186-G186-H186</x:f>
        <x:v>0</x:v>
      </x:c>
      <x:c r="K186" s="37">
        <x:f>J186/C186</x:f>
        <x:v>0</x:v>
      </x:c>
      <x:c r="L186" s="25" t="str">
        <x:f>IF(J186&lt;M186,119,"")</x:f>
        <x:v/>
      </x:c>
      <x:c r="M186" s="34">
        <x:f>P22*C186</x:f>
        <x:v>0</x:v>
      </x:c>
      <x:c r="N186" s="35">
        <x:f>J186-M186</x:f>
        <x:v>0</x:v>
      </x:c>
    </x:row>
    <x:row r="187" spans="1:14" customFormat="1" ht="18" customHeight="1">
      <x:c r="A187" s="15" t="s">
        <x:v>81</x:v>
      </x:c>
      <x:c r="B187" s="14" t="s">
        <x:v>143</x:v>
      </x:c>
      <x:c r="C187" s="1">
        <x:v>1</x:v>
      </x:c>
      <x:c r="D187" s="14" t="s">
        <x:v>247</x:v>
      </x:c>
      <x:c r="E187" s="1" t="s">
        <x:v>193</x:v>
      </x:c>
      <x:c r="F187" s="33">
        <x:f>'2026.9.9'!J135</x:f>
        <x:v>0</x:v>
      </x:c>
      <x:c r="G187" s="39">
        <x:f>H23*C187</x:f>
        <x:v>0</x:v>
      </x:c>
      <x:c r="H187" s="1"/>
      <x:c r="I187" s="1"/>
      <x:c r="J187" s="36">
        <x:f>F187+I187-G187-H187</x:f>
        <x:v>0</x:v>
      </x:c>
      <x:c r="K187" s="37">
        <x:f>J187/C187</x:f>
        <x:v>0</x:v>
      </x:c>
      <x:c r="L187" s="25" t="str">
        <x:f>IF(J187&lt;M187,119,"")</x:f>
        <x:v/>
      </x:c>
      <x:c r="M187" s="34">
        <x:f>P23*C187</x:f>
        <x:v>0</x:v>
      </x:c>
      <x:c r="N187" s="35">
        <x:f>J187-M187</x:f>
        <x:v>0</x:v>
      </x:c>
    </x:row>
    <x:row r="188" spans="1:14" ht="18" customHeight="1">
      <x:c r="A188" s="15" t="s">
        <x:v>81</x:v>
      </x:c>
      <x:c r="B188" s="14" t="s">
        <x:v>172</x:v>
      </x:c>
      <x:c r="C188" s="1">
        <x:v>1</x:v>
      </x:c>
      <x:c r="D188" s="9" t="s">
        <x:v>83</x:v>
      </x:c>
      <x:c r="F188" s="33">
        <x:f>'2026.9.9'!J136</x:f>
        <x:v>0</x:v>
      </x:c>
      <x:c r="G188" s="39">
        <x:f>J6*C188</x:f>
        <x:v>0</x:v>
      </x:c>
      <x:c r="J188" s="36">
        <x:f>F188+I188-G188-H188</x:f>
        <x:v>0</x:v>
      </x:c>
      <x:c r="K188" s="37">
        <x:f>J188/C188</x:f>
        <x:v>0</x:v>
      </x:c>
      <x:c r="L188" s="25">
        <x:f>IF(J188&lt;M188,119,"")</x:f>
        <x:v>119</x:v>
      </x:c>
      <x:c r="M188" s="34">
        <x:f>R6*C188</x:f>
        <x:v>13</x:v>
      </x:c>
      <x:c r="N188" s="35">
        <x:f>J188-M188</x:f>
        <x:v>-13</x:v>
      </x:c>
    </x:row>
    <x:row r="189" spans="1:14" ht="18" customHeight="1">
      <x:c r="A189" s="15" t="s">
        <x:v>81</x:v>
      </x:c>
      <x:c r="B189" s="14" t="s">
        <x:v>172</x:v>
      </x:c>
      <x:c r="C189" s="1">
        <x:v>1</x:v>
      </x:c>
      <x:c r="D189" s="9" t="s">
        <x:v>41</x:v>
      </x:c>
      <x:c r="F189" s="33">
        <x:f>'2026.9.9'!J137</x:f>
        <x:v>0</x:v>
      </x:c>
      <x:c r="G189" s="39">
        <x:f>J7*C189</x:f>
        <x:v>0</x:v>
      </x:c>
      <x:c r="J189" s="36">
        <x:f>F189+I189-G189-H189</x:f>
        <x:v>0</x:v>
      </x:c>
      <x:c r="K189" s="37">
        <x:f>J189/C189</x:f>
        <x:v>0</x:v>
      </x:c>
      <x:c r="L189" s="25" t="str">
        <x:f>IF(J189&lt;M189,119,"")</x:f>
        <x:v/>
      </x:c>
      <x:c r="M189" s="34">
        <x:f>R7*C189</x:f>
        <x:v>0</x:v>
      </x:c>
      <x:c r="N189" s="35">
        <x:f>J189-M189</x:f>
        <x:v>0</x:v>
      </x:c>
    </x:row>
    <x:row r="190" spans="1:14" ht="18" customHeight="1">
      <x:c r="A190" s="15" t="s">
        <x:v>81</x:v>
      </x:c>
      <x:c r="B190" s="14" t="s">
        <x:v>172</x:v>
      </x:c>
      <x:c r="C190" s="1">
        <x:v>1</x:v>
      </x:c>
      <x:c r="D190" s="9" t="s">
        <x:v>47</x:v>
      </x:c>
      <x:c r="F190" s="33">
        <x:f>'2026.9.9'!J138</x:f>
        <x:v>7</x:v>
      </x:c>
      <x:c r="G190" s="39">
        <x:f>J8*C190</x:f>
        <x:v>0</x:v>
      </x:c>
      <x:c r="J190" s="36">
        <x:f>F190+I190-G190-H190</x:f>
        <x:v>7</x:v>
      </x:c>
      <x:c r="K190" s="37">
        <x:f>J190/C190</x:f>
        <x:v>7</x:v>
      </x:c>
      <x:c r="L190" s="25">
        <x:f>IF(J190&lt;M190,119,"")</x:f>
        <x:v>119</x:v>
      </x:c>
      <x:c r="M190" s="34">
        <x:f>R8*C190</x:f>
        <x:v>10</x:v>
      </x:c>
      <x:c r="N190" s="35">
        <x:f>J190-M190</x:f>
        <x:v>-3</x:v>
      </x:c>
    </x:row>
    <x:row r="191" spans="1:14" ht="18" customHeight="1">
      <x:c r="A191" s="15" t="s">
        <x:v>81</x:v>
      </x:c>
      <x:c r="B191" s="14" t="s">
        <x:v>172</x:v>
      </x:c>
      <x:c r="C191" s="1">
        <x:v>1</x:v>
      </x:c>
      <x:c r="D191" s="9" t="s">
        <x:v>73</x:v>
      </x:c>
      <x:c r="F191" s="33">
        <x:f>'2026.9.9'!J139</x:f>
        <x:v>3</x:v>
      </x:c>
      <x:c r="G191" s="39">
        <x:f>J9*C191</x:f>
        <x:v>2</x:v>
      </x:c>
      <x:c r="J191" s="36">
        <x:f>F191+I191-G191-H191</x:f>
        <x:v>1</x:v>
      </x:c>
      <x:c r="K191" s="37">
        <x:f>J191/C191</x:f>
        <x:v>1</x:v>
      </x:c>
      <x:c r="L191" s="25">
        <x:f>IF(J191&lt;M191,119,"")</x:f>
        <x:v>119</x:v>
      </x:c>
      <x:c r="M191" s="34">
        <x:f>R9*C191</x:f>
        <x:v>10</x:v>
      </x:c>
      <x:c r="N191" s="35">
        <x:f>J191-M191</x:f>
        <x:v>-9</x:v>
      </x:c>
    </x:row>
    <x:row r="192" spans="1:14" ht="18" customHeight="1">
      <x:c r="A192" s="15" t="s">
        <x:v>13</x:v>
      </x:c>
      <x:c r="B192" s="14" t="s">
        <x:v>137</x:v>
      </x:c>
      <x:c r="C192" s="1">
        <x:v>1</x:v>
      </x:c>
      <x:c r="D192" s="9" t="s">
        <x:v>83</x:v>
      </x:c>
      <x:c r="E192" s="1" t="s">
        <x:v>214</x:v>
      </x:c>
      <x:c r="F192" s="33">
        <x:f>'2026.9.9'!J140</x:f>
        <x:v>1</x:v>
      </x:c>
      <x:c r="G192" s="39">
        <x:f>J6*C192</x:f>
        <x:v>0</x:v>
      </x:c>
      <x:c r="J192" s="36">
        <x:f>F192+I192-G192-H192</x:f>
        <x:v>1</x:v>
      </x:c>
      <x:c r="K192" s="37">
        <x:f>J192/C192</x:f>
        <x:v>1</x:v>
      </x:c>
      <x:c r="L192" s="25">
        <x:f>IF(J192&lt;M192,119,"")</x:f>
        <x:v>119</x:v>
      </x:c>
      <x:c r="M192" s="34">
        <x:f>R6*C192</x:f>
        <x:v>13</x:v>
      </x:c>
      <x:c r="N192" s="35">
        <x:f>J192-M192</x:f>
        <x:v>-12</x:v>
      </x:c>
    </x:row>
    <x:row r="193" spans="1:14" ht="18" customHeight="1">
      <x:c r="A193" s="15" t="s">
        <x:v>13</x:v>
      </x:c>
      <x:c r="B193" s="14" t="s">
        <x:v>137</x:v>
      </x:c>
      <x:c r="C193" s="1">
        <x:v>1</x:v>
      </x:c>
      <x:c r="D193" s="9" t="s">
        <x:v>41</x:v>
      </x:c>
      <x:c r="E193" s="1" t="s">
        <x:v>191</x:v>
      </x:c>
      <x:c r="F193" s="33">
        <x:f>'2026.9.9'!J141</x:f>
        <x:v>1</x:v>
      </x:c>
      <x:c r="G193" s="39">
        <x:f>J7*C193</x:f>
        <x:v>0</x:v>
      </x:c>
      <x:c r="J193" s="36">
        <x:f>F193+I193-G193-H193</x:f>
        <x:v>1</x:v>
      </x:c>
      <x:c r="K193" s="37">
        <x:f>J193/C193</x:f>
        <x:v>1</x:v>
      </x:c>
      <x:c r="L193" s="25" t="str">
        <x:f>IF(J193&lt;M193,119,"")</x:f>
        <x:v/>
      </x:c>
      <x:c r="M193" s="34">
        <x:f>R7*C193</x:f>
        <x:v>0</x:v>
      </x:c>
      <x:c r="N193" s="35">
        <x:f>J193-M193</x:f>
        <x:v>1</x:v>
      </x:c>
    </x:row>
    <x:row r="194" spans="1:14" ht="18" customHeight="1">
      <x:c r="A194" s="15" t="s">
        <x:v>13</x:v>
      </x:c>
      <x:c r="B194" s="14" t="s">
        <x:v>137</x:v>
      </x:c>
      <x:c r="C194" s="1">
        <x:v>1</x:v>
      </x:c>
      <x:c r="D194" s="9" t="s">
        <x:v>47</x:v>
      </x:c>
      <x:c r="E194" s="1" t="s">
        <x:v>218</x:v>
      </x:c>
      <x:c r="F194" s="33">
        <x:f>'2026.9.9'!J142</x:f>
        <x:v>6</x:v>
      </x:c>
      <x:c r="G194" s="39">
        <x:f>J8*C194</x:f>
        <x:v>0</x:v>
      </x:c>
      <x:c r="J194" s="36">
        <x:f>F194+I194-G194-H194</x:f>
        <x:v>6</x:v>
      </x:c>
      <x:c r="K194" s="37">
        <x:f>J194/C194</x:f>
        <x:v>6</x:v>
      </x:c>
      <x:c r="L194" s="25">
        <x:f>IF(J194&lt;M194,119,"")</x:f>
        <x:v>119</x:v>
      </x:c>
      <x:c r="M194" s="34">
        <x:f>R8*C194</x:f>
        <x:v>10</x:v>
      </x:c>
      <x:c r="N194" s="35">
        <x:f>J194-M194</x:f>
        <x:v>-4</x:v>
      </x:c>
    </x:row>
    <x:row r="195" spans="1:14" customFormat="1" ht="18" customHeight="1">
      <x:c r="A195" s="15" t="s">
        <x:v>144</x:v>
      </x:c>
      <x:c r="B195" s="14" t="s">
        <x:v>62</x:v>
      </x:c>
      <x:c r="C195" s="1">
        <x:v>1</x:v>
      </x:c>
      <x:c r="D195" s="14" t="s">
        <x:v>244</x:v>
      </x:c>
      <x:c r="E195" s="1" t="s">
        <x:v>199</x:v>
      </x:c>
      <x:c r="F195" s="33">
        <x:f>'2026.9.9'!J143</x:f>
        <x:v>0</x:v>
      </x:c>
      <x:c r="G195" s="39">
        <x:f>H22*C195</x:f>
        <x:v>0</x:v>
      </x:c>
      <x:c r="H195" s="1"/>
      <x:c r="I195" s="1"/>
      <x:c r="J195" s="36">
        <x:f>F195+I195-G195-H195</x:f>
        <x:v>0</x:v>
      </x:c>
      <x:c r="K195" s="37">
        <x:f>J195/C195</x:f>
        <x:v>0</x:v>
      </x:c>
      <x:c r="L195" s="25" t="str">
        <x:f>IF(J195&lt;M195,119,"")</x:f>
        <x:v/>
      </x:c>
      <x:c r="M195" s="34">
        <x:f>P22*C195</x:f>
        <x:v>0</x:v>
      </x:c>
      <x:c r="N195" s="35">
        <x:f>J195-M195</x:f>
        <x:v>0</x:v>
      </x:c>
    </x:row>
    <x:row r="196" spans="1:14" customFormat="1" ht="18" customHeight="1">
      <x:c r="A196" s="15" t="s">
        <x:v>144</x:v>
      </x:c>
      <x:c r="B196" s="14" t="s">
        <x:v>62</x:v>
      </x:c>
      <x:c r="C196" s="1">
        <x:v>1</x:v>
      </x:c>
      <x:c r="D196" s="14" t="s">
        <x:v>247</x:v>
      </x:c>
      <x:c r="E196" s="1" t="s">
        <x:v>186</x:v>
      </x:c>
      <x:c r="F196" s="33">
        <x:f>'2026.9.9'!J144</x:f>
        <x:v>0</x:v>
      </x:c>
      <x:c r="G196" s="39">
        <x:f>H23*C196</x:f>
        <x:v>0</x:v>
      </x:c>
      <x:c r="H196" s="1"/>
      <x:c r="I196" s="1"/>
      <x:c r="J196" s="36">
        <x:f>F196+I196-G196-H196</x:f>
        <x:v>0</x:v>
      </x:c>
      <x:c r="K196" s="37">
        <x:f>J196/C196</x:f>
        <x:v>0</x:v>
      </x:c>
      <x:c r="L196" s="25" t="str">
        <x:f>IF(J196&lt;M196,119,"")</x:f>
        <x:v/>
      </x:c>
      <x:c r="M196" s="34">
        <x:f>P23*C196</x:f>
        <x:v>0</x:v>
      </x:c>
      <x:c r="N196" s="35">
        <x:f>J196-M196</x:f>
        <x:v>0</x:v>
      </x:c>
    </x:row>
    <x:row r="197" spans="1:14" ht="18" customHeight="1">
      <x:c r="A197" s="15" t="s">
        <x:v>144</x:v>
      </x:c>
      <x:c r="B197" s="14" t="s">
        <x:v>62</x:v>
      </x:c>
      <x:c r="C197" s="1">
        <x:v>1</x:v>
      </x:c>
      <x:c r="D197" s="9" t="s">
        <x:v>83</x:v>
      </x:c>
      <x:c r="E197" s="1" t="s">
        <x:v>68</x:v>
      </x:c>
      <x:c r="F197" s="33">
        <x:f>'2026.9.9'!J145</x:f>
        <x:v>35</x:v>
      </x:c>
      <x:c r="G197" s="39">
        <x:f>J6*C197</x:f>
        <x:v>0</x:v>
      </x:c>
      <x:c r="J197" s="36">
        <x:f>F197+I197-G197-H197</x:f>
        <x:v>35</x:v>
      </x:c>
      <x:c r="K197" s="37">
        <x:f>J197/C197</x:f>
        <x:v>35</x:v>
      </x:c>
      <x:c r="L197" s="25" t="str">
        <x:f>IF(J197&lt;M197,119,"")</x:f>
        <x:v/>
      </x:c>
      <x:c r="M197" s="34">
        <x:f>R6*C197</x:f>
        <x:v>13</x:v>
      </x:c>
      <x:c r="N197" s="35">
        <x:f>J197-M197</x:f>
        <x:v>22</x:v>
      </x:c>
    </x:row>
    <x:row r="198" spans="1:14" ht="18" customHeight="1">
      <x:c r="A198" s="15" t="s">
        <x:v>144</x:v>
      </x:c>
      <x:c r="B198" s="14" t="s">
        <x:v>62</x:v>
      </x:c>
      <x:c r="C198" s="1">
        <x:v>1</x:v>
      </x:c>
      <x:c r="D198" s="9" t="s">
        <x:v>41</x:v>
      </x:c>
      <x:c r="E198" s="1" t="s">
        <x:v>107</x:v>
      </x:c>
      <x:c r="F198" s="33">
        <x:f>'2026.9.9'!J146</x:f>
        <x:v>0</x:v>
      </x:c>
      <x:c r="G198" s="39">
        <x:f>J7*C198</x:f>
        <x:v>0</x:v>
      </x:c>
      <x:c r="J198" s="36">
        <x:f>F198+I198-G198-H198</x:f>
        <x:v>0</x:v>
      </x:c>
      <x:c r="K198" s="37">
        <x:f>J198/C198</x:f>
        <x:v>0</x:v>
      </x:c>
      <x:c r="L198" s="25" t="str">
        <x:f>IF(J198&lt;M198,119,"")</x:f>
        <x:v/>
      </x:c>
      <x:c r="M198" s="34">
        <x:f>R7*C198</x:f>
        <x:v>0</x:v>
      </x:c>
      <x:c r="N198" s="35">
        <x:f>J198-M198</x:f>
        <x:v>0</x:v>
      </x:c>
    </x:row>
    <x:row r="199" spans="1:14" ht="18" customHeight="1">
      <x:c r="A199" s="15" t="s">
        <x:v>144</x:v>
      </x:c>
      <x:c r="B199" s="14" t="s">
        <x:v>62</x:v>
      </x:c>
      <x:c r="C199" s="1">
        <x:v>1</x:v>
      </x:c>
      <x:c r="D199" s="9" t="s">
        <x:v>47</x:v>
      </x:c>
      <x:c r="E199" s="1" t="s">
        <x:v>59</x:v>
      </x:c>
      <x:c r="F199" s="33">
        <x:f>'2026.9.9'!J147</x:f>
        <x:v>42</x:v>
      </x:c>
      <x:c r="G199" s="39">
        <x:f>J8*C199</x:f>
        <x:v>0</x:v>
      </x:c>
      <x:c r="J199" s="36">
        <x:f>F199+I199-G199-H199</x:f>
        <x:v>42</x:v>
      </x:c>
      <x:c r="K199" s="37">
        <x:f>J199/C199</x:f>
        <x:v>42</x:v>
      </x:c>
      <x:c r="L199" s="25" t="str">
        <x:f>IF(J199&lt;M199,119,"")</x:f>
        <x:v/>
      </x:c>
      <x:c r="M199" s="34">
        <x:f>R8*C199</x:f>
        <x:v>10</x:v>
      </x:c>
      <x:c r="N199" s="35">
        <x:f>J199-M199</x:f>
        <x:v>32</x:v>
      </x:c>
    </x:row>
    <x:row r="200" spans="1:14" ht="18" customHeight="1">
      <x:c r="A200" s="15" t="s">
        <x:v>144</x:v>
      </x:c>
      <x:c r="B200" s="14" t="s">
        <x:v>62</x:v>
      </x:c>
      <x:c r="C200" s="1">
        <x:v>1</x:v>
      </x:c>
      <x:c r="D200" s="9" t="s">
        <x:v>73</x:v>
      </x:c>
      <x:c r="E200" s="1" t="s">
        <x:v>56</x:v>
      </x:c>
      <x:c r="F200" s="33">
        <x:f>'2026.9.9'!J148</x:f>
        <x:v>32</x:v>
      </x:c>
      <x:c r="G200" s="39">
        <x:f>J9*C200</x:f>
        <x:v>2</x:v>
      </x:c>
      <x:c r="J200" s="36">
        <x:f>F200+I200-G200-H200</x:f>
        <x:v>30</x:v>
      </x:c>
      <x:c r="K200" s="37">
        <x:f>J200/C200</x:f>
        <x:v>30</x:v>
      </x:c>
      <x:c r="L200" s="25" t="str">
        <x:f>IF(J200&lt;M200,119,"")</x:f>
        <x:v/>
      </x:c>
      <x:c r="M200" s="34">
        <x:f>R9*C200</x:f>
        <x:v>10</x:v>
      </x:c>
      <x:c r="N200" s="35">
        <x:f>J200-M200</x:f>
        <x:v>20</x:v>
      </x:c>
    </x:row>
    <x:row r="201" spans="1:14" customFormat="1" ht="18" customHeight="1">
      <x:c r="A201" s="15" t="s">
        <x:v>57</x:v>
      </x:c>
      <x:c r="B201" s="14" t="s">
        <x:v>112</x:v>
      </x:c>
      <x:c r="C201" s="1">
        <x:v>1</x:v>
      </x:c>
      <x:c r="D201" s="14" t="s">
        <x:v>244</x:v>
      </x:c>
      <x:c r="E201" s="1" t="s">
        <x:v>146</x:v>
      </x:c>
      <x:c r="F201" s="33">
        <x:f>'2026.9.9'!J149</x:f>
        <x:v>4</x:v>
      </x:c>
      <x:c r="G201" s="39">
        <x:f>H22*C201</x:f>
        <x:v>0</x:v>
      </x:c>
      <x:c r="H201" s="1"/>
      <x:c r="I201" s="1"/>
      <x:c r="J201" s="36">
        <x:f>F201+I201-G201-H201</x:f>
        <x:v>4</x:v>
      </x:c>
      <x:c r="K201" s="37">
        <x:f>J201/C201</x:f>
        <x:v>4</x:v>
      </x:c>
      <x:c r="L201" s="25" t="str">
        <x:f>IF(J201&lt;M201,119,"")</x:f>
        <x:v/>
      </x:c>
      <x:c r="M201" s="34">
        <x:f>P22*C201</x:f>
        <x:v>0</x:v>
      </x:c>
      <x:c r="N201" s="35">
        <x:f>J201-M201</x:f>
        <x:v>4</x:v>
      </x:c>
    </x:row>
    <x:row r="202" spans="1:14" customFormat="1" ht="18" customHeight="1">
      <x:c r="A202" s="15" t="s">
        <x:v>57</x:v>
      </x:c>
      <x:c r="B202" s="14" t="s">
        <x:v>112</x:v>
      </x:c>
      <x:c r="C202" s="1">
        <x:v>1</x:v>
      </x:c>
      <x:c r="D202" s="14" t="s">
        <x:v>247</x:v>
      </x:c>
      <x:c r="E202" s="1" t="s">
        <x:v>145</x:v>
      </x:c>
      <x:c r="F202" s="33">
        <x:f>'2026.9.9'!J150</x:f>
        <x:v>14</x:v>
      </x:c>
      <x:c r="G202" s="39">
        <x:f>H23*C202</x:f>
        <x:v>0</x:v>
      </x:c>
      <x:c r="H202" s="1"/>
      <x:c r="I202" s="1"/>
      <x:c r="J202" s="36">
        <x:f>F202+I202-G202-H202</x:f>
        <x:v>14</x:v>
      </x:c>
      <x:c r="K202" s="37">
        <x:f>J202/C202</x:f>
        <x:v>14</x:v>
      </x:c>
      <x:c r="L202" s="25" t="str">
        <x:f>IF(J202&lt;M202,119,"")</x:f>
        <x:v/>
      </x:c>
      <x:c r="M202" s="34">
        <x:f>P23*C202</x:f>
        <x:v>0</x:v>
      </x:c>
      <x:c r="N202" s="35">
        <x:f>J202-M202</x:f>
        <x:v>14</x:v>
      </x:c>
    </x:row>
    <x:row r="203" spans="1:14" ht="18" customHeight="1">
      <x:c r="A203" s="15" t="s">
        <x:v>57</x:v>
      </x:c>
      <x:c r="B203" s="14" t="s">
        <x:v>112</x:v>
      </x:c>
      <x:c r="C203" s="1">
        <x:v>1</x:v>
      </x:c>
      <x:c r="D203" s="9" t="s">
        <x:v>83</x:v>
      </x:c>
      <x:c r="E203" s="1" t="s">
        <x:v>194</x:v>
      </x:c>
      <x:c r="F203" s="33">
        <x:f>'2026.9.9'!J151</x:f>
        <x:v>41</x:v>
      </x:c>
      <x:c r="G203" s="39">
        <x:f>J6*C203</x:f>
        <x:v>0</x:v>
      </x:c>
      <x:c r="J203" s="36">
        <x:f>F203+I203-G203-H203</x:f>
        <x:v>41</x:v>
      </x:c>
      <x:c r="K203" s="37">
        <x:f>J203/C203</x:f>
        <x:v>41</x:v>
      </x:c>
      <x:c r="L203" s="25" t="str">
        <x:f>IF(J203&lt;M203,119,"")</x:f>
        <x:v/>
      </x:c>
      <x:c r="M203" s="34">
        <x:f>R6*C203</x:f>
        <x:v>13</x:v>
      </x:c>
      <x:c r="N203" s="35">
        <x:f>J203-M203</x:f>
        <x:v>28</x:v>
      </x:c>
    </x:row>
    <x:row r="204" spans="1:14" ht="18" customHeight="1">
      <x:c r="A204" s="15" t="s">
        <x:v>57</x:v>
      </x:c>
      <x:c r="B204" s="14" t="s">
        <x:v>112</x:v>
      </x:c>
      <x:c r="C204" s="1">
        <x:v>1</x:v>
      </x:c>
      <x:c r="D204" s="9" t="s">
        <x:v>41</x:v>
      </x:c>
      <x:c r="E204" s="1" t="s">
        <x:v>164</x:v>
      </x:c>
      <x:c r="F204" s="33">
        <x:f>'2026.9.9'!J152</x:f>
        <x:v>1</x:v>
      </x:c>
      <x:c r="G204" s="39">
        <x:f>J7*C204</x:f>
        <x:v>0</x:v>
      </x:c>
      <x:c r="J204" s="36">
        <x:f>F204+I204-G204-H204</x:f>
        <x:v>1</x:v>
      </x:c>
      <x:c r="K204" s="37">
        <x:f>J204/C204</x:f>
        <x:v>1</x:v>
      </x:c>
      <x:c r="L204" s="25" t="str">
        <x:f>IF(J204&lt;M204,119,"")</x:f>
        <x:v/>
      </x:c>
      <x:c r="M204" s="34">
        <x:f>R7*C204</x:f>
        <x:v>0</x:v>
      </x:c>
      <x:c r="N204" s="35">
        <x:f>J204-M204</x:f>
        <x:v>1</x:v>
      </x:c>
    </x:row>
    <x:row r="205" spans="1:14" ht="18" customHeight="1">
      <x:c r="A205" s="15" t="s">
        <x:v>57</x:v>
      </x:c>
      <x:c r="B205" s="14" t="s">
        <x:v>112</x:v>
      </x:c>
      <x:c r="C205" s="1">
        <x:v>1</x:v>
      </x:c>
      <x:c r="D205" s="9" t="s">
        <x:v>47</x:v>
      </x:c>
      <x:c r="E205" s="1" t="s">
        <x:v>146</x:v>
      </x:c>
      <x:c r="F205" s="33">
        <x:f>'2026.9.9'!J153</x:f>
        <x:v>34</x:v>
      </x:c>
      <x:c r="G205" s="39">
        <x:f>J8*C205</x:f>
        <x:v>0</x:v>
      </x:c>
      <x:c r="J205" s="36">
        <x:f>F205+I205-G205-H205</x:f>
        <x:v>34</x:v>
      </x:c>
      <x:c r="K205" s="37">
        <x:f>J205/C205</x:f>
        <x:v>34</x:v>
      </x:c>
      <x:c r="L205" s="25" t="str">
        <x:f>IF(J205&lt;M205,119,"")</x:f>
        <x:v/>
      </x:c>
      <x:c r="M205" s="34">
        <x:f>R8*C205</x:f>
        <x:v>10</x:v>
      </x:c>
      <x:c r="N205" s="35">
        <x:f>J205-M205</x:f>
        <x:v>24</x:v>
      </x:c>
    </x:row>
    <x:row r="206" spans="1:14" ht="18" customHeight="1">
      <x:c r="A206" s="15" t="s">
        <x:v>57</x:v>
      </x:c>
      <x:c r="B206" s="14" t="s">
        <x:v>112</x:v>
      </x:c>
      <x:c r="C206" s="1">
        <x:v>1</x:v>
      </x:c>
      <x:c r="D206" s="9" t="s">
        <x:v>73</x:v>
      </x:c>
      <x:c r="E206" s="1" t="s">
        <x:v>146</x:v>
      </x:c>
      <x:c r="F206" s="33">
        <x:f>'2026.9.9'!J154</x:f>
        <x:v>32</x:v>
      </x:c>
      <x:c r="G206" s="39">
        <x:f>J9*C206</x:f>
        <x:v>2</x:v>
      </x:c>
      <x:c r="J206" s="36">
        <x:f>F206+I206-G206-H206</x:f>
        <x:v>30</x:v>
      </x:c>
      <x:c r="K206" s="37">
        <x:f>J206/C206</x:f>
        <x:v>30</x:v>
      </x:c>
      <x:c r="L206" s="25" t="str">
        <x:f>IF(J206&lt;M206,119,"")</x:f>
        <x:v/>
      </x:c>
      <x:c r="M206" s="34">
        <x:f>R9*C206</x:f>
        <x:v>10</x:v>
      </x:c>
      <x:c r="N206" s="35">
        <x:f>J206-M206</x:f>
        <x:v>20</x:v>
      </x:c>
    </x:row>
    <x:row r="207" spans="1:14" customFormat="1" ht="18" customHeight="1">
      <x:c r="A207" s="15" t="s">
        <x:v>149</x:v>
      </x:c>
      <x:c r="B207" s="14" t="s">
        <x:v>229</x:v>
      </x:c>
      <x:c r="C207" s="1">
        <x:v>1</x:v>
      </x:c>
      <x:c r="D207" s="14" t="s">
        <x:v>246</x:v>
      </x:c>
      <x:c r="E207" s="1" t="s">
        <x:v>289</x:v>
      </x:c>
      <x:c r="F207" s="33">
        <x:f>'2026.9.9'!J155</x:f>
        <x:v>1</x:v>
      </x:c>
      <x:c r="G207" s="39">
        <x:f>SUM(H6:H7)*C207</x:f>
        <x:v>0</x:v>
      </x:c>
      <x:c r="H207" s="1"/>
      <x:c r="I207" s="1"/>
      <x:c r="J207" s="36">
        <x:f>F207+I207-G207-H207</x:f>
        <x:v>1</x:v>
      </x:c>
      <x:c r="K207" s="37">
        <x:f>J207/C207</x:f>
        <x:v>1</x:v>
      </x:c>
      <x:c r="L207" s="25" t="str">
        <x:f>IF(J207&lt;M207,119,"")</x:f>
        <x:v/>
      </x:c>
      <x:c r="M207" s="34">
        <x:f>SUM(P6:P7)*C207</x:f>
        <x:v>0</x:v>
      </x:c>
      <x:c r="N207" s="35">
        <x:f>J207-M207</x:f>
        <x:v>1</x:v>
      </x:c>
    </x:row>
    <x:row r="208" spans="1:14" customFormat="1" ht="18" customHeight="1">
      <x:c r="A208" s="15" t="s">
        <x:v>149</x:v>
      </x:c>
      <x:c r="B208" s="14" t="s">
        <x:v>229</x:v>
      </x:c>
      <x:c r="C208" s="1">
        <x:v>1</x:v>
      </x:c>
      <x:c r="D208" s="14" t="s">
        <x:v>246</x:v>
      </x:c>
      <x:c r="E208" s="6" t="s">
        <x:v>162</x:v>
      </x:c>
      <x:c r="F208" s="33">
        <x:f>'2026.9.9'!J156</x:f>
        <x:v>3</x:v>
      </x:c>
      <x:c r="G208" s="39">
        <x:f>SUM(H6:H7)*C208</x:f>
        <x:v>0</x:v>
      </x:c>
      <x:c r="H208" s="1"/>
      <x:c r="I208" s="1"/>
      <x:c r="J208" s="36">
        <x:f>F208+I208-G208-H208</x:f>
        <x:v>3</x:v>
      </x:c>
      <x:c r="K208" s="37">
        <x:f>J208/C208</x:f>
        <x:v>3</x:v>
      </x:c>
      <x:c r="L208" s="25" t="str">
        <x:f>IF(J208&lt;M208,119,"")</x:f>
        <x:v/>
      </x:c>
      <x:c r="M208" s="34">
        <x:f>SUM(P6:P7)*C208</x:f>
        <x:v>0</x:v>
      </x:c>
      <x:c r="N208" s="35">
        <x:f>J208-M208</x:f>
        <x:v>3</x:v>
      </x:c>
    </x:row>
    <x:row r="209" spans="1:14" customFormat="1" ht="18" customHeight="1">
      <x:c r="A209" s="15" t="s">
        <x:v>149</x:v>
      </x:c>
      <x:c r="B209" s="14" t="s">
        <x:v>229</x:v>
      </x:c>
      <x:c r="C209" s="1">
        <x:v>1</x:v>
      </x:c>
      <x:c r="D209" s="14" t="s">
        <x:v>23</x:v>
      </x:c>
      <x:c r="E209" s="1" t="s">
        <x:v>289</x:v>
      </x:c>
      <x:c r="F209" s="33">
        <x:f>'2026.9.9'!J157</x:f>
        <x:v>0</x:v>
      </x:c>
      <x:c r="G209" s="39">
        <x:f>H4*C209</x:f>
        <x:v>0</x:v>
      </x:c>
      <x:c r="H209" s="1"/>
      <x:c r="I209" s="1"/>
      <x:c r="J209" s="36">
        <x:f>F209+I209-G209-H209</x:f>
        <x:v>0</x:v>
      </x:c>
      <x:c r="K209" s="37">
        <x:f>J209/C209</x:f>
        <x:v>0</x:v>
      </x:c>
      <x:c r="L209" s="25" t="str">
        <x:f>IF(J209&lt;M209,119,"")</x:f>
        <x:v/>
      </x:c>
      <x:c r="M209" s="34">
        <x:f>P4*C209</x:f>
        <x:v>0</x:v>
      </x:c>
      <x:c r="N209" s="35">
        <x:f>J209-M209</x:f>
        <x:v>0</x:v>
      </x:c>
    </x:row>
    <x:row r="210" spans="1:14" customFormat="1" ht="18" customHeight="1">
      <x:c r="A210" s="15" t="s">
        <x:v>149</x:v>
      </x:c>
      <x:c r="B210" s="14" t="s">
        <x:v>229</x:v>
      </x:c>
      <x:c r="C210" s="1">
        <x:v>1</x:v>
      </x:c>
      <x:c r="D210" s="14" t="s">
        <x:v>23</x:v>
      </x:c>
      <x:c r="E210" s="6" t="s">
        <x:v>162</x:v>
      </x:c>
      <x:c r="F210" s="33">
        <x:f>'2026.9.9'!J158</x:f>
        <x:v>0</x:v>
      </x:c>
      <x:c r="G210" s="39">
        <x:f>H4*C210</x:f>
        <x:v>0</x:v>
      </x:c>
      <x:c r="H210" s="1"/>
      <x:c r="I210" s="1"/>
      <x:c r="J210" s="36">
        <x:f>F210+I210-G210-H210</x:f>
        <x:v>0</x:v>
      </x:c>
      <x:c r="K210" s="37">
        <x:f>J210/C210</x:f>
        <x:v>0</x:v>
      </x:c>
      <x:c r="L210" s="25" t="str">
        <x:f>IF(J210&lt;M210,119,"")</x:f>
        <x:v/>
      </x:c>
      <x:c r="M210" s="34">
        <x:f>P4*C210</x:f>
        <x:v>0</x:v>
      </x:c>
      <x:c r="N210" s="35">
        <x:f>J210-M210</x:f>
        <x:v>0</x:v>
      </x:c>
    </x:row>
    <x:row r="211" spans="1:14" customFormat="1" ht="18" customHeight="1">
      <x:c r="A211" s="15" t="s">
        <x:v>149</x:v>
      </x:c>
      <x:c r="B211" s="14" t="s">
        <x:v>229</x:v>
      </x:c>
      <x:c r="C211" s="1">
        <x:v>1</x:v>
      </x:c>
      <x:c r="D211" s="14" t="s">
        <x:v>51</x:v>
      </x:c>
      <x:c r="E211" s="1" t="s">
        <x:v>289</x:v>
      </x:c>
      <x:c r="F211" s="33">
        <x:f>'2026.9.9'!J159</x:f>
        <x:v>4</x:v>
      </x:c>
      <x:c r="G211" s="39">
        <x:f>H7</x:f>
        <x:v>0</x:v>
      </x:c>
      <x:c r="H211" s="1"/>
      <x:c r="I211" s="1"/>
      <x:c r="J211" s="36">
        <x:f>F211+I211-G211-H211</x:f>
        <x:v>4</x:v>
      </x:c>
      <x:c r="K211" s="37">
        <x:f>J211/C211</x:f>
        <x:v>4</x:v>
      </x:c>
      <x:c r="L211" s="25">
        <x:f>IF(J211&lt;M211,119,"")</x:f>
        <x:v>119</x:v>
      </x:c>
      <x:c r="M211" s="34">
        <x:f>P5*C211</x:f>
        <x:v>6</x:v>
      </x:c>
      <x:c r="N211" s="35">
        <x:f>J211-M211</x:f>
        <x:v>-2</x:v>
      </x:c>
    </x:row>
    <x:row r="212" spans="1:14" customFormat="1" ht="18" customHeight="1">
      <x:c r="A212" s="15" t="s">
        <x:v>149</x:v>
      </x:c>
      <x:c r="B212" s="14" t="s">
        <x:v>229</x:v>
      </x:c>
      <x:c r="C212" s="1">
        <x:v>1</x:v>
      </x:c>
      <x:c r="D212" s="14" t="s">
        <x:v>51</x:v>
      </x:c>
      <x:c r="E212" s="6" t="s">
        <x:v>162</x:v>
      </x:c>
      <x:c r="F212" s="33">
        <x:f>'2026.9.9'!J160</x:f>
        <x:v>4</x:v>
      </x:c>
      <x:c r="G212" s="39">
        <x:f>H7</x:f>
        <x:v>0</x:v>
      </x:c>
      <x:c r="H212" s="1"/>
      <x:c r="I212" s="1"/>
      <x:c r="J212" s="36">
        <x:f>F212+I212-G212-H212</x:f>
        <x:v>4</x:v>
      </x:c>
      <x:c r="K212" s="37">
        <x:f>J212/C212</x:f>
        <x:v>4</x:v>
      </x:c>
      <x:c r="L212" s="25">
        <x:f>IF(J212&lt;M212,119,"")</x:f>
        <x:v>119</x:v>
      </x:c>
      <x:c r="M212" s="34">
        <x:f>P5*C212</x:f>
        <x:v>6</x:v>
      </x:c>
      <x:c r="N212" s="35">
        <x:f>J212-M212</x:f>
        <x:v>-2</x:v>
      </x:c>
    </x:row>
    <x:row r="213" spans="1:14" customFormat="1" ht="18" customHeight="1">
      <x:c r="A213" s="15" t="s">
        <x:v>149</x:v>
      </x:c>
      <x:c r="B213" s="14" t="s">
        <x:v>229</x:v>
      </x:c>
      <x:c r="C213" s="1">
        <x:v>1</x:v>
      </x:c>
      <x:c r="D213" s="14" t="s">
        <x:v>230</x:v>
      </x:c>
      <x:c r="E213" s="1" t="s">
        <x:v>289</x:v>
      </x:c>
      <x:c r="F213" s="33">
        <x:f>'2026.9.9'!J161</x:f>
        <x:v>140</x:v>
      </x:c>
      <x:c r="G213" s="39">
        <x:f>SUM(H14,H8)</x:f>
        <x:v>0</x:v>
      </x:c>
      <x:c r="H213" s="1"/>
      <x:c r="I213" s="1"/>
      <x:c r="J213" s="36">
        <x:f>F213+I213-G213-H213</x:f>
        <x:v>140</x:v>
      </x:c>
      <x:c r="K213" s="37">
        <x:f>J213/C213</x:f>
        <x:v>140</x:v>
      </x:c>
      <x:c r="L213" s="25" t="str">
        <x:f>IF(J213&lt;M213,119,"")</x:f>
        <x:v/>
      </x:c>
      <x:c r="M213" s="34">
        <x:f>SUM(P8,P14)*C213</x:f>
        <x:v>40</x:v>
      </x:c>
      <x:c r="N213" s="35">
        <x:f>J213-M213</x:f>
        <x:v>100</x:v>
      </x:c>
    </x:row>
    <x:row r="214" spans="1:14" customFormat="1" ht="18" customHeight="1">
      <x:c r="A214" s="15" t="s">
        <x:v>149</x:v>
      </x:c>
      <x:c r="B214" s="14" t="s">
        <x:v>229</x:v>
      </x:c>
      <x:c r="C214" s="1">
        <x:v>1</x:v>
      </x:c>
      <x:c r="D214" s="14" t="s">
        <x:v>230</x:v>
      </x:c>
      <x:c r="E214" s="6" t="s">
        <x:v>162</x:v>
      </x:c>
      <x:c r="F214" s="33">
        <x:f>'2026.9.9'!J162</x:f>
        <x:v>140</x:v>
      </x:c>
      <x:c r="G214" s="39">
        <x:f>SUM(H8,H14)</x:f>
        <x:v>0</x:v>
      </x:c>
      <x:c r="H214" s="1"/>
      <x:c r="I214" s="1"/>
      <x:c r="J214" s="36">
        <x:f>F214+I214-G214-H214</x:f>
        <x:v>140</x:v>
      </x:c>
      <x:c r="K214" s="37">
        <x:f>J214/C214</x:f>
        <x:v>140</x:v>
      </x:c>
      <x:c r="L214" s="25" t="str">
        <x:f>IF(J214&lt;M214,119,"")</x:f>
        <x:v/>
      </x:c>
      <x:c r="M214" s="34">
        <x:f>SUM(P8,P14)*C214</x:f>
        <x:v>40</x:v>
      </x:c>
      <x:c r="N214" s="35">
        <x:f>J214-M214</x:f>
        <x:v>100</x:v>
      </x:c>
    </x:row>
    <x:row r="215" spans="1:14" customFormat="1" ht="18" customHeight="1">
      <x:c r="A215" s="15" t="s">
        <x:v>149</x:v>
      </x:c>
      <x:c r="B215" s="14" t="s">
        <x:v>229</x:v>
      </x:c>
      <x:c r="C215" s="1">
        <x:v>1</x:v>
      </x:c>
      <x:c r="D215" s="14" t="s">
        <x:v>44</x:v>
      </x:c>
      <x:c r="E215" s="1" t="s">
        <x:v>289</x:v>
      </x:c>
      <x:c r="F215" s="33">
        <x:f>'2026.9.9'!J163</x:f>
        <x:v>58</x:v>
      </x:c>
      <x:c r="G215" s="39">
        <x:f>H9</x:f>
        <x:v>0</x:v>
      </x:c>
      <x:c r="H215" s="1"/>
      <x:c r="I215" s="1"/>
      <x:c r="J215" s="36">
        <x:f>F215+I215-G215-H215</x:f>
        <x:v>58</x:v>
      </x:c>
      <x:c r="K215" s="37">
        <x:f>J215/C215</x:f>
        <x:v>58</x:v>
      </x:c>
      <x:c r="L215" s="25" t="str">
        <x:f>IF(J215&lt;M215,119,"")</x:f>
        <x:v/>
      </x:c>
      <x:c r="M215" s="34">
        <x:f>P9*C215</x:f>
        <x:v>6</x:v>
      </x:c>
      <x:c r="N215" s="35">
        <x:f>J215-M215</x:f>
        <x:v>52</x:v>
      </x:c>
    </x:row>
    <x:row r="216" spans="1:14" customFormat="1" ht="18" customHeight="1">
      <x:c r="A216" s="15" t="s">
        <x:v>149</x:v>
      </x:c>
      <x:c r="B216" s="14" t="s">
        <x:v>229</x:v>
      </x:c>
      <x:c r="C216" s="1">
        <x:v>1</x:v>
      </x:c>
      <x:c r="D216" s="14" t="s">
        <x:v>44</x:v>
      </x:c>
      <x:c r="E216" s="6" t="s">
        <x:v>162</x:v>
      </x:c>
      <x:c r="F216" s="33">
        <x:f>'2026.9.9'!J164</x:f>
        <x:v>58</x:v>
      </x:c>
      <x:c r="G216" s="39">
        <x:f>H9</x:f>
        <x:v>0</x:v>
      </x:c>
      <x:c r="H216" s="1"/>
      <x:c r="I216" s="1"/>
      <x:c r="J216" s="36">
        <x:f>F216+I216-G216-H216</x:f>
        <x:v>58</x:v>
      </x:c>
      <x:c r="K216" s="37">
        <x:f>J216/C216</x:f>
        <x:v>58</x:v>
      </x:c>
      <x:c r="L216" s="25" t="str">
        <x:f>IF(J216&lt;M216,119,"")</x:f>
        <x:v/>
      </x:c>
      <x:c r="M216" s="34">
        <x:f>P9*C216</x:f>
        <x:v>6</x:v>
      </x:c>
      <x:c r="N216" s="35">
        <x:f>J216-M216</x:f>
        <x:v>52</x:v>
      </x:c>
    </x:row>
    <x:row r="217" spans="1:14" customFormat="1" ht="18" customHeight="1">
      <x:c r="A217" s="15" t="s">
        <x:v>149</x:v>
      </x:c>
      <x:c r="B217" s="14" t="s">
        <x:v>229</x:v>
      </x:c>
      <x:c r="C217" s="1">
        <x:v>1</x:v>
      </x:c>
      <x:c r="D217" s="14" t="s">
        <x:v>76</x:v>
      </x:c>
      <x:c r="E217" s="1" t="s">
        <x:v>289</x:v>
      </x:c>
      <x:c r="F217" s="33">
        <x:f>'2026.9.9'!J165</x:f>
        <x:v>0</x:v>
      </x:c>
      <x:c r="G217" s="39">
        <x:f>H11</x:f>
        <x:v>0</x:v>
      </x:c>
      <x:c r="H217" s="1"/>
      <x:c r="I217" s="1"/>
      <x:c r="J217" s="36">
        <x:f>F217+I217-G217-H217</x:f>
        <x:v>0</x:v>
      </x:c>
      <x:c r="K217" s="37">
        <x:f>J217/C217</x:f>
        <x:v>0</x:v>
      </x:c>
      <x:c r="L217" s="25" t="str">
        <x:f>IF(J217&lt;M217,119,"")</x:f>
        <x:v/>
      </x:c>
      <x:c r="M217" s="34">
        <x:f>P11*C217</x:f>
        <x:v>0</x:v>
      </x:c>
      <x:c r="N217" s="35">
        <x:f>J217-M217</x:f>
        <x:v>0</x:v>
      </x:c>
    </x:row>
    <x:row r="218" spans="1:14" customFormat="1" ht="18" customHeight="1">
      <x:c r="A218" s="15" t="s">
        <x:v>149</x:v>
      </x:c>
      <x:c r="B218" s="14" t="s">
        <x:v>229</x:v>
      </x:c>
      <x:c r="C218" s="1">
        <x:v>1</x:v>
      </x:c>
      <x:c r="D218" s="14" t="s">
        <x:v>76</x:v>
      </x:c>
      <x:c r="E218" s="6" t="s">
        <x:v>162</x:v>
      </x:c>
      <x:c r="F218" s="33">
        <x:f>'2026.9.9'!J166</x:f>
        <x:v>0</x:v>
      </x:c>
      <x:c r="G218" s="39">
        <x:f>H11</x:f>
        <x:v>0</x:v>
      </x:c>
      <x:c r="H218" s="1"/>
      <x:c r="I218" s="1"/>
      <x:c r="J218" s="36">
        <x:f>F218+I218-G218-H218</x:f>
        <x:v>0</x:v>
      </x:c>
      <x:c r="K218" s="37">
        <x:f>J218/C218</x:f>
        <x:v>0</x:v>
      </x:c>
      <x:c r="L218" s="25" t="str">
        <x:f>IF(J218&lt;M218,119,"")</x:f>
        <x:v/>
      </x:c>
      <x:c r="M218" s="34">
        <x:f>P11*C218</x:f>
        <x:v>0</x:v>
      </x:c>
      <x:c r="N218" s="35">
        <x:f>J218-M218</x:f>
        <x:v>0</x:v>
      </x:c>
    </x:row>
    <x:row r="219" spans="1:14" customFormat="1" ht="18" customHeight="1">
      <x:c r="A219" s="15" t="s">
        <x:v>149</x:v>
      </x:c>
      <x:c r="B219" s="14" t="s">
        <x:v>229</x:v>
      </x:c>
      <x:c r="C219" s="1">
        <x:v>1</x:v>
      </x:c>
      <x:c r="D219" s="14" t="s">
        <x:v>6</x:v>
      </x:c>
      <x:c r="E219" s="1" t="s">
        <x:v>289</x:v>
      </x:c>
      <x:c r="F219" s="33">
        <x:f>'2026.9.9'!J167</x:f>
        <x:v>14</x:v>
      </x:c>
      <x:c r="G219" s="39">
        <x:f>SUM(H12,H15)*C219</x:f>
        <x:v>0</x:v>
      </x:c>
      <x:c r="H219" s="1"/>
      <x:c r="I219" s="1"/>
      <x:c r="J219" s="36">
        <x:f>F219+I219-G219-H219</x:f>
        <x:v>14</x:v>
      </x:c>
      <x:c r="K219" s="37">
        <x:f>J219/C219</x:f>
        <x:v>14</x:v>
      </x:c>
      <x:c r="L219" s="25" t="str">
        <x:f>IF(J219&lt;M219,119,"")</x:f>
        <x:v/>
      </x:c>
      <x:c r="M219" s="34">
        <x:f>SUM(P12,P15)*C219</x:f>
        <x:v>0</x:v>
      </x:c>
      <x:c r="N219" s="35">
        <x:f>J219-M219</x:f>
        <x:v>14</x:v>
      </x:c>
    </x:row>
    <x:row r="220" spans="1:14" customFormat="1" ht="18" customHeight="1">
      <x:c r="A220" s="15" t="s">
        <x:v>149</x:v>
      </x:c>
      <x:c r="B220" s="14" t="s">
        <x:v>229</x:v>
      </x:c>
      <x:c r="C220" s="1">
        <x:v>1</x:v>
      </x:c>
      <x:c r="D220" s="14" t="s">
        <x:v>6</x:v>
      </x:c>
      <x:c r="E220" s="6" t="s">
        <x:v>162</x:v>
      </x:c>
      <x:c r="F220" s="33">
        <x:f>'2026.9.9'!J168</x:f>
        <x:v>14</x:v>
      </x:c>
      <x:c r="G220" s="39">
        <x:f>SUM(H12,H15)*C220</x:f>
        <x:v>0</x:v>
      </x:c>
      <x:c r="H220" s="1"/>
      <x:c r="I220" s="1"/>
      <x:c r="J220" s="36">
        <x:f>F220+I220-G220-H220</x:f>
        <x:v>14</x:v>
      </x:c>
      <x:c r="K220" s="37">
        <x:f>J220/C220</x:f>
        <x:v>14</x:v>
      </x:c>
      <x:c r="L220" s="25" t="str">
        <x:f>IF(J220&lt;M220,119,"")</x:f>
        <x:v/>
      </x:c>
      <x:c r="M220" s="34">
        <x:f>SUM(P12,P15)*C220</x:f>
        <x:v>0</x:v>
      </x:c>
      <x:c r="N220" s="35">
        <x:f>J220-M220</x:f>
        <x:v>14</x:v>
      </x:c>
    </x:row>
    <x:row r="221" spans="1:14" customFormat="1" ht="18" customHeight="1">
      <x:c r="A221" s="15" t="s">
        <x:v>149</x:v>
      </x:c>
      <x:c r="B221" s="14" t="s">
        <x:v>229</x:v>
      </x:c>
      <x:c r="C221" s="1">
        <x:v>1</x:v>
      </x:c>
      <x:c r="D221" s="14" t="s">
        <x:v>249</x:v>
      </x:c>
      <x:c r="E221" s="1" t="s">
        <x:v>289</x:v>
      </x:c>
      <x:c r="F221" s="33">
        <x:f>'2026.9.9'!J169</x:f>
        <x:v>106</x:v>
      </x:c>
      <x:c r="G221" s="39">
        <x:f>SUM(H17,H19,H20)</x:f>
        <x:v>0</x:v>
      </x:c>
      <x:c r="H221" s="1"/>
      <x:c r="I221" s="1"/>
      <x:c r="J221" s="36">
        <x:f>F221+I221-G221-H221</x:f>
        <x:v>106</x:v>
      </x:c>
      <x:c r="K221" s="37">
        <x:f>J221/C221</x:f>
        <x:v>106</x:v>
      </x:c>
      <x:c r="L221" s="25" t="str">
        <x:f>IF(J221&lt;M221,119,"")</x:f>
        <x:v/>
      </x:c>
      <x:c r="M221" s="34">
        <x:f>SUM(P17:P20)*C221</x:f>
        <x:v>19</x:v>
      </x:c>
      <x:c r="N221" s="35">
        <x:f>J221-M221</x:f>
        <x:v>87</x:v>
      </x:c>
    </x:row>
    <x:row r="222" spans="1:14" customFormat="1" ht="18" customHeight="1">
      <x:c r="A222" s="15" t="s">
        <x:v>149</x:v>
      </x:c>
      <x:c r="B222" s="14" t="s">
        <x:v>229</x:v>
      </x:c>
      <x:c r="C222" s="1">
        <x:v>1</x:v>
      </x:c>
      <x:c r="D222" s="14" t="s">
        <x:v>249</x:v>
      </x:c>
      <x:c r="E222" s="6" t="s">
        <x:v>162</x:v>
      </x:c>
      <x:c r="F222" s="33">
        <x:f>'2026.9.9'!J170</x:f>
        <x:v>106</x:v>
      </x:c>
      <x:c r="G222" s="39">
        <x:f>SUM(H17,H19,H20)</x:f>
        <x:v>0</x:v>
      </x:c>
      <x:c r="H222" s="1"/>
      <x:c r="I222" s="1"/>
      <x:c r="J222" s="36">
        <x:f>F222+I222-G222-H222</x:f>
        <x:v>106</x:v>
      </x:c>
      <x:c r="K222" s="37">
        <x:f>J222/C222</x:f>
        <x:v>106</x:v>
      </x:c>
      <x:c r="L222" s="25" t="str">
        <x:f>IF(J222&lt;M222,119,"")</x:f>
        <x:v/>
      </x:c>
      <x:c r="M222" s="34">
        <x:f>SUM(P17:P20)*C222</x:f>
        <x:v>19</x:v>
      </x:c>
      <x:c r="N222" s="35">
        <x:f>J222-M222</x:f>
        <x:v>87</x:v>
      </x:c>
    </x:row>
    <x:row r="223" spans="1:14" customFormat="1" ht="18" customHeight="1">
      <x:c r="A223" s="15" t="s">
        <x:v>149</x:v>
      </x:c>
      <x:c r="B223" s="14" t="s">
        <x:v>229</x:v>
      </x:c>
      <x:c r="C223" s="1">
        <x:v>1</x:v>
      </x:c>
      <x:c r="D223" s="14" t="s">
        <x:v>70</x:v>
      </x:c>
      <x:c r="E223" s="1" t="s">
        <x:v>289</x:v>
      </x:c>
      <x:c r="F223" s="33">
        <x:f>'2026.9.9'!J171</x:f>
        <x:v>114</x:v>
      </x:c>
      <x:c r="G223" s="39">
        <x:f>H21</x:f>
        <x:v>0</x:v>
      </x:c>
      <x:c r="H223" s="1"/>
      <x:c r="I223" s="1"/>
      <x:c r="J223" s="36">
        <x:f>F223+I223-G223-H223</x:f>
        <x:v>114</x:v>
      </x:c>
      <x:c r="K223" s="37">
        <x:f>J223/C223</x:f>
        <x:v>114</x:v>
      </x:c>
      <x:c r="L223" s="25" t="str">
        <x:f>IF(J223&lt;M223,119,"")</x:f>
        <x:v/>
      </x:c>
      <x:c r="M223" s="34">
        <x:f>P21*C223</x:f>
        <x:v>17</x:v>
      </x:c>
      <x:c r="N223" s="35">
        <x:f>J223-M223</x:f>
        <x:v>97</x:v>
      </x:c>
    </x:row>
    <x:row r="224" spans="1:14" customFormat="1" ht="18" customHeight="1">
      <x:c r="A224" s="15" t="s">
        <x:v>149</x:v>
      </x:c>
      <x:c r="B224" s="14" t="s">
        <x:v>229</x:v>
      </x:c>
      <x:c r="C224" s="1">
        <x:v>1</x:v>
      </x:c>
      <x:c r="D224" s="14" t="s">
        <x:v>70</x:v>
      </x:c>
      <x:c r="E224" s="6" t="s">
        <x:v>162</x:v>
      </x:c>
      <x:c r="F224" s="33">
        <x:f>'2026.9.9'!J172</x:f>
        <x:v>114</x:v>
      </x:c>
      <x:c r="G224" s="39">
        <x:f>H21</x:f>
        <x:v>0</x:v>
      </x:c>
      <x:c r="H224" s="1"/>
      <x:c r="I224" s="1"/>
      <x:c r="J224" s="36">
        <x:f>F224+I224-G224-H224</x:f>
        <x:v>114</x:v>
      </x:c>
      <x:c r="K224" s="37">
        <x:f>J224/C224</x:f>
        <x:v>114</x:v>
      </x:c>
      <x:c r="L224" s="25" t="str">
        <x:f>IF(J224&lt;M224,119,"")</x:f>
        <x:v/>
      </x:c>
      <x:c r="M224" s="34">
        <x:f>P21*C224</x:f>
        <x:v>17</x:v>
      </x:c>
      <x:c r="N224" s="35">
        <x:f>J224-M224</x:f>
        <x:v>97</x:v>
      </x:c>
    </x:row>
    <x:row r="225" spans="1:14" customFormat="1" ht="18" customHeight="1">
      <x:c r="A225" s="15" t="s">
        <x:v>149</x:v>
      </x:c>
      <x:c r="B225" s="14" t="s">
        <x:v>229</x:v>
      </x:c>
      <x:c r="C225" s="1">
        <x:v>1</x:v>
      </x:c>
      <x:c r="D225" s="14" t="s">
        <x:v>244</x:v>
      </x:c>
      <x:c r="E225" s="1" t="s">
        <x:v>289</x:v>
      </x:c>
      <x:c r="F225" s="33">
        <x:f>'2026.9.9'!J173</x:f>
        <x:v>0</x:v>
      </x:c>
      <x:c r="G225" s="39">
        <x:f>H22*C225</x:f>
        <x:v>0</x:v>
      </x:c>
      <x:c r="H225" s="1"/>
      <x:c r="I225" s="1"/>
      <x:c r="J225" s="36">
        <x:f>F225+I225-G225-H225</x:f>
        <x:v>0</x:v>
      </x:c>
      <x:c r="K225" s="37">
        <x:f>J225/C225</x:f>
        <x:v>0</x:v>
      </x:c>
      <x:c r="L225" s="25" t="str">
        <x:f>IF(J225&lt;M225,119,"")</x:f>
        <x:v/>
      </x:c>
      <x:c r="M225" s="34">
        <x:f>P22*C225</x:f>
        <x:v>0</x:v>
      </x:c>
      <x:c r="N225" s="35">
        <x:f>J225-M225</x:f>
        <x:v>0</x:v>
      </x:c>
    </x:row>
    <x:row r="226" spans="1:14" customFormat="1" ht="18" customHeight="1">
      <x:c r="A226" s="15" t="s">
        <x:v>149</x:v>
      </x:c>
      <x:c r="B226" s="14" t="s">
        <x:v>229</x:v>
      </x:c>
      <x:c r="C226" s="1">
        <x:v>1</x:v>
      </x:c>
      <x:c r="D226" s="14" t="s">
        <x:v>244</x:v>
      </x:c>
      <x:c r="E226" s="6" t="s">
        <x:v>162</x:v>
      </x:c>
      <x:c r="F226" s="33">
        <x:f>'2026.9.9'!J174</x:f>
        <x:v>0</x:v>
      </x:c>
      <x:c r="G226" s="39">
        <x:f>H22*C226</x:f>
        <x:v>0</x:v>
      </x:c>
      <x:c r="H226" s="1"/>
      <x:c r="I226" s="1"/>
      <x:c r="J226" s="36">
        <x:f>F226+I226-G226-H226</x:f>
        <x:v>0</x:v>
      </x:c>
      <x:c r="K226" s="37">
        <x:f>J226/C226</x:f>
        <x:v>0</x:v>
      </x:c>
      <x:c r="L226" s="25" t="str">
        <x:f>IF(J226&lt;M226,119,"")</x:f>
        <x:v/>
      </x:c>
      <x:c r="M226" s="34">
        <x:f>P22*C226</x:f>
        <x:v>0</x:v>
      </x:c>
      <x:c r="N226" s="35">
        <x:f>J226-M226</x:f>
        <x:v>0</x:v>
      </x:c>
    </x:row>
    <x:row r="227" spans="1:14" customFormat="1" ht="18" customHeight="1">
      <x:c r="A227" s="15" t="s">
        <x:v>149</x:v>
      </x:c>
      <x:c r="B227" s="14" t="s">
        <x:v>229</x:v>
      </x:c>
      <x:c r="C227" s="1">
        <x:v>1</x:v>
      </x:c>
      <x:c r="D227" s="14" t="s">
        <x:v>247</x:v>
      </x:c>
      <x:c r="E227" s="1" t="s">
        <x:v>289</x:v>
      </x:c>
      <x:c r="F227" s="33">
        <x:f>'2026.9.9'!J175</x:f>
        <x:v>0</x:v>
      </x:c>
      <x:c r="G227" s="39">
        <x:f>H23*C227</x:f>
        <x:v>0</x:v>
      </x:c>
      <x:c r="H227" s="1"/>
      <x:c r="I227" s="1"/>
      <x:c r="J227" s="36">
        <x:f>F227+I227-G227-H227</x:f>
        <x:v>0</x:v>
      </x:c>
      <x:c r="K227" s="37">
        <x:f>J227/C227</x:f>
        <x:v>0</x:v>
      </x:c>
      <x:c r="L227" s="25" t="str">
        <x:f>IF(J227&lt;M227,119,"")</x:f>
        <x:v/>
      </x:c>
      <x:c r="M227" s="34">
        <x:f>P23*C227</x:f>
        <x:v>0</x:v>
      </x:c>
      <x:c r="N227" s="35">
        <x:f>J227-M227</x:f>
        <x:v>0</x:v>
      </x:c>
    </x:row>
    <x:row r="228" spans="1:14" customFormat="1" ht="18" customHeight="1">
      <x:c r="A228" s="15" t="s">
        <x:v>149</x:v>
      </x:c>
      <x:c r="B228" s="14" t="s">
        <x:v>229</x:v>
      </x:c>
      <x:c r="C228" s="1">
        <x:v>1</x:v>
      </x:c>
      <x:c r="D228" s="14" t="s">
        <x:v>247</x:v>
      </x:c>
      <x:c r="E228" s="6" t="s">
        <x:v>162</x:v>
      </x:c>
      <x:c r="F228" s="33">
        <x:f>'2026.9.9'!J176</x:f>
        <x:v>0</x:v>
      </x:c>
      <x:c r="G228" s="39">
        <x:f>H23*C228</x:f>
        <x:v>0</x:v>
      </x:c>
      <x:c r="H228" s="1"/>
      <x:c r="I228" s="1"/>
      <x:c r="J228" s="36">
        <x:f>F228+I228-G228-H228</x:f>
        <x:v>0</x:v>
      </x:c>
      <x:c r="K228" s="37">
        <x:f>J228/C228</x:f>
        <x:v>0</x:v>
      </x:c>
      <x:c r="L228" s="25" t="str">
        <x:f>IF(J228&lt;M228,119,"")</x:f>
        <x:v/>
      </x:c>
      <x:c r="M228" s="34">
        <x:f>P23*C228</x:f>
        <x:v>0</x:v>
      </x:c>
      <x:c r="N228" s="35">
        <x:f>J228-M228</x:f>
        <x:v>0</x:v>
      </x:c>
    </x:row>
    <x:row r="229" spans="1:14" customFormat="1" ht="18" customHeight="1">
      <x:c r="A229" s="15" t="s">
        <x:v>149</x:v>
      </x:c>
      <x:c r="B229" s="14" t="s">
        <x:v>229</x:v>
      </x:c>
      <x:c r="C229" s="1">
        <x:v>1</x:v>
      </x:c>
      <x:c r="D229" s="14" t="s">
        <x:v>22</x:v>
      </x:c>
      <x:c r="E229" s="1" t="s">
        <x:v>289</x:v>
      </x:c>
      <x:c r="F229" s="33">
        <x:f>'2026.9.9'!J177</x:f>
        <x:v>0</x:v>
      </x:c>
      <x:c r="G229" s="39">
        <x:f>H24*C229</x:f>
        <x:v>0</x:v>
      </x:c>
      <x:c r="H229" s="1"/>
      <x:c r="I229" s="1"/>
      <x:c r="J229" s="36">
        <x:f>F229+I229-G229-H229</x:f>
        <x:v>0</x:v>
      </x:c>
      <x:c r="K229" s="37">
        <x:f>J229/C229</x:f>
        <x:v>0</x:v>
      </x:c>
      <x:c r="L229" s="25" t="str">
        <x:f>IF(J229&lt;M229,119,"")</x:f>
        <x:v/>
      </x:c>
      <x:c r="M229" s="34">
        <x:f>P24*C229</x:f>
        <x:v>0</x:v>
      </x:c>
      <x:c r="N229" s="35">
        <x:f>J229-M229</x:f>
        <x:v>0</x:v>
      </x:c>
    </x:row>
    <x:row r="230" spans="1:14" customFormat="1" ht="18" customHeight="1">
      <x:c r="A230" s="15" t="s">
        <x:v>149</x:v>
      </x:c>
      <x:c r="B230" s="14" t="s">
        <x:v>229</x:v>
      </x:c>
      <x:c r="C230" s="1">
        <x:v>1</x:v>
      </x:c>
      <x:c r="D230" s="14" t="s">
        <x:v>22</x:v>
      </x:c>
      <x:c r="E230" s="6" t="s">
        <x:v>162</x:v>
      </x:c>
      <x:c r="F230" s="33">
        <x:f>'2026.9.9'!J178</x:f>
        <x:v>0</x:v>
      </x:c>
      <x:c r="G230" s="39">
        <x:f>H24*C230</x:f>
        <x:v>0</x:v>
      </x:c>
      <x:c r="H230" s="1"/>
      <x:c r="I230" s="1"/>
      <x:c r="J230" s="36">
        <x:f>F230+I230-G230-H230</x:f>
        <x:v>0</x:v>
      </x:c>
      <x:c r="K230" s="37">
        <x:f>J230/C230</x:f>
        <x:v>0</x:v>
      </x:c>
      <x:c r="L230" s="25" t="str">
        <x:f>IF(J230&lt;M230,119,"")</x:f>
        <x:v/>
      </x:c>
      <x:c r="M230" s="34">
        <x:f>P24*C230</x:f>
        <x:v>0</x:v>
      </x:c>
      <x:c r="N230" s="35">
        <x:f>J230-M230</x:f>
        <x:v>0</x:v>
      </x:c>
    </x:row>
    <x:row r="231" spans="1:14" customFormat="1" ht="18" customHeight="1">
      <x:c r="A231" s="15" t="s">
        <x:v>149</x:v>
      </x:c>
      <x:c r="B231" s="14" t="s">
        <x:v>229</x:v>
      </x:c>
      <x:c r="C231" s="1">
        <x:v>1</x:v>
      </x:c>
      <x:c r="D231" s="14" t="s">
        <x:v>96</x:v>
      </x:c>
      <x:c r="E231" s="1" t="s">
        <x:v>289</x:v>
      </x:c>
      <x:c r="F231" s="33">
        <x:f>'2026.9.9'!J179</x:f>
        <x:v>2</x:v>
      </x:c>
      <x:c r="G231" s="39">
        <x:f>H25*C231</x:f>
        <x:v>0</x:v>
      </x:c>
      <x:c r="H231" s="1"/>
      <x:c r="I231" s="1"/>
      <x:c r="J231" s="36">
        <x:f>F231+I231-G231-H231</x:f>
        <x:v>2</x:v>
      </x:c>
      <x:c r="K231" s="37">
        <x:f>J231/C231</x:f>
        <x:v>2</x:v>
      </x:c>
      <x:c r="L231" s="25" t="str">
        <x:f>IF(J231&lt;M231,119,"")</x:f>
        <x:v/>
      </x:c>
      <x:c r="M231" s="34">
        <x:f>P25*C231</x:f>
        <x:v>0</x:v>
      </x:c>
      <x:c r="N231" s="35">
        <x:f>J231-M231</x:f>
        <x:v>2</x:v>
      </x:c>
    </x:row>
    <x:row r="232" spans="1:14" customFormat="1" ht="18" customHeight="1">
      <x:c r="A232" s="15" t="s">
        <x:v>149</x:v>
      </x:c>
      <x:c r="B232" s="14" t="s">
        <x:v>229</x:v>
      </x:c>
      <x:c r="C232" s="1">
        <x:v>1</x:v>
      </x:c>
      <x:c r="D232" s="14" t="s">
        <x:v>96</x:v>
      </x:c>
      <x:c r="E232" s="6" t="s">
        <x:v>162</x:v>
      </x:c>
      <x:c r="F232" s="33">
        <x:f>'2026.9.9'!J180</x:f>
        <x:v>2</x:v>
      </x:c>
      <x:c r="G232" s="39">
        <x:f>H25*C232</x:f>
        <x:v>0</x:v>
      </x:c>
      <x:c r="H232" s="1"/>
      <x:c r="I232" s="1"/>
      <x:c r="J232" s="36">
        <x:f>F232+I232-G232-H232</x:f>
        <x:v>2</x:v>
      </x:c>
      <x:c r="K232" s="37">
        <x:f>J232/C232</x:f>
        <x:v>2</x:v>
      </x:c>
      <x:c r="L232" s="25" t="str">
        <x:f>IF(J232&lt;M232,119,"")</x:f>
        <x:v/>
      </x:c>
      <x:c r="M232" s="34">
        <x:f>P25*C232</x:f>
        <x:v>0</x:v>
      </x:c>
      <x:c r="N232" s="35">
        <x:f>J232-M232</x:f>
        <x:v>2</x:v>
      </x:c>
    </x:row>
    <x:row r="233" spans="1:14" customFormat="1" ht="18" customHeight="1">
      <x:c r="A233" s="15" t="s">
        <x:v>149</x:v>
      </x:c>
      <x:c r="B233" s="14" t="s">
        <x:v>229</x:v>
      </x:c>
      <x:c r="C233" s="1">
        <x:v>1</x:v>
      </x:c>
      <x:c r="D233" s="14" t="s">
        <x:v>83</x:v>
      </x:c>
      <x:c r="E233" s="1" t="s">
        <x:v>289</x:v>
      </x:c>
      <x:c r="F233" s="33">
        <x:f>'2026.9.9'!J181</x:f>
        <x:v>0</x:v>
      </x:c>
      <x:c r="G233" s="39">
        <x:f>J6</x:f>
        <x:v>0</x:v>
      </x:c>
      <x:c r="H233" s="1"/>
      <x:c r="I233" s="1"/>
      <x:c r="J233" s="36">
        <x:f>F233+I233-G233-H233</x:f>
        <x:v>0</x:v>
      </x:c>
      <x:c r="K233" s="37">
        <x:f>J233/C233</x:f>
        <x:v>0</x:v>
      </x:c>
      <x:c r="L233" s="25">
        <x:f>IF(J233&lt;M233,119,"")</x:f>
        <x:v>119</x:v>
      </x:c>
      <x:c r="M233" s="34">
        <x:f>R6*C233</x:f>
        <x:v>13</x:v>
      </x:c>
      <x:c r="N233" s="35">
        <x:f>J233-M233</x:f>
        <x:v>-13</x:v>
      </x:c>
    </x:row>
    <x:row r="234" spans="1:14" customFormat="1" ht="18" customHeight="1">
      <x:c r="A234" s="15" t="s">
        <x:v>149</x:v>
      </x:c>
      <x:c r="B234" s="14" t="s">
        <x:v>229</x:v>
      </x:c>
      <x:c r="C234" s="1">
        <x:v>1</x:v>
      </x:c>
      <x:c r="D234" s="14" t="s">
        <x:v>83</x:v>
      </x:c>
      <x:c r="E234" s="6" t="s">
        <x:v>162</x:v>
      </x:c>
      <x:c r="F234" s="33">
        <x:f>'2026.9.9'!J182</x:f>
        <x:v>0</x:v>
      </x:c>
      <x:c r="G234" s="39">
        <x:f>J6</x:f>
        <x:v>0</x:v>
      </x:c>
      <x:c r="H234" s="1"/>
      <x:c r="I234" s="1"/>
      <x:c r="J234" s="36">
        <x:f>F234+I234-G234-H234</x:f>
        <x:v>0</x:v>
      </x:c>
      <x:c r="K234" s="37">
        <x:f>J234/C234</x:f>
        <x:v>0</x:v>
      </x:c>
      <x:c r="L234" s="25">
        <x:f>IF(J234&lt;M234,119,"")</x:f>
        <x:v>119</x:v>
      </x:c>
      <x:c r="M234" s="34">
        <x:f>R6*C234</x:f>
        <x:v>13</x:v>
      </x:c>
      <x:c r="N234" s="35">
        <x:f>J234-M234</x:f>
        <x:v>-13</x:v>
      </x:c>
    </x:row>
    <x:row r="235" spans="1:14" customFormat="1" ht="18" customHeight="1">
      <x:c r="A235" s="15" t="s">
        <x:v>149</x:v>
      </x:c>
      <x:c r="B235" s="14" t="s">
        <x:v>229</x:v>
      </x:c>
      <x:c r="C235" s="1">
        <x:v>1</x:v>
      </x:c>
      <x:c r="D235" s="14" t="s">
        <x:v>41</x:v>
      </x:c>
      <x:c r="E235" s="1" t="s">
        <x:v>289</x:v>
      </x:c>
      <x:c r="F235" s="33">
        <x:f>'2026.9.9'!J183</x:f>
        <x:v>0</x:v>
      </x:c>
      <x:c r="G235" s="39">
        <x:f>J7</x:f>
        <x:v>0</x:v>
      </x:c>
      <x:c r="H235" s="1"/>
      <x:c r="I235" s="1"/>
      <x:c r="J235" s="36">
        <x:f>F235+I235-G235-H235</x:f>
        <x:v>0</x:v>
      </x:c>
      <x:c r="K235" s="37">
        <x:f>J235/C235</x:f>
        <x:v>0</x:v>
      </x:c>
      <x:c r="L235" s="25" t="str">
        <x:f>IF(J235&lt;M235,119,"")</x:f>
        <x:v/>
      </x:c>
      <x:c r="M235" s="34">
        <x:f>R7*C235</x:f>
        <x:v>0</x:v>
      </x:c>
      <x:c r="N235" s="35">
        <x:f>J235-M235</x:f>
        <x:v>0</x:v>
      </x:c>
    </x:row>
    <x:row r="236" spans="1:14" customFormat="1" ht="18" customHeight="1">
      <x:c r="A236" s="15" t="s">
        <x:v>149</x:v>
      </x:c>
      <x:c r="B236" s="14" t="s">
        <x:v>229</x:v>
      </x:c>
      <x:c r="C236" s="1">
        <x:v>1</x:v>
      </x:c>
      <x:c r="D236" s="14" t="s">
        <x:v>41</x:v>
      </x:c>
      <x:c r="E236" s="6" t="s">
        <x:v>162</x:v>
      </x:c>
      <x:c r="F236" s="33">
        <x:f>'2026.9.9'!J184</x:f>
        <x:v>0</x:v>
      </x:c>
      <x:c r="G236" s="39">
        <x:f>J7</x:f>
        <x:v>0</x:v>
      </x:c>
      <x:c r="H236" s="1"/>
      <x:c r="I236" s="1"/>
      <x:c r="J236" s="36">
        <x:f>F236+I236-G236-H236</x:f>
        <x:v>0</x:v>
      </x:c>
      <x:c r="K236" s="37">
        <x:f>J236/C236</x:f>
        <x:v>0</x:v>
      </x:c>
      <x:c r="L236" s="25" t="str">
        <x:f>IF(J236&lt;M236,119,"")</x:f>
        <x:v/>
      </x:c>
      <x:c r="M236" s="34">
        <x:f>R7*C236</x:f>
        <x:v>0</x:v>
      </x:c>
      <x:c r="N236" s="35">
        <x:f>J236-M236</x:f>
        <x:v>0</x:v>
      </x:c>
    </x:row>
    <x:row r="237" spans="1:14" customFormat="1" ht="18" customHeight="1">
      <x:c r="A237" s="15" t="s">
        <x:v>149</x:v>
      </x:c>
      <x:c r="B237" s="14" t="s">
        <x:v>229</x:v>
      </x:c>
      <x:c r="C237" s="1">
        <x:v>1</x:v>
      </x:c>
      <x:c r="D237" s="14" t="s">
        <x:v>47</x:v>
      </x:c>
      <x:c r="E237" s="1" t="s">
        <x:v>289</x:v>
      </x:c>
      <x:c r="F237" s="33">
        <x:f>'2026.9.9'!J185</x:f>
        <x:v>7</x:v>
      </x:c>
      <x:c r="G237" s="39">
        <x:f>J8</x:f>
        <x:v>0</x:v>
      </x:c>
      <x:c r="H237" s="1"/>
      <x:c r="I237" s="1"/>
      <x:c r="J237" s="36">
        <x:f>F237+I237-G237-H237</x:f>
        <x:v>7</x:v>
      </x:c>
      <x:c r="K237" s="37">
        <x:f>J237/C237</x:f>
        <x:v>7</x:v>
      </x:c>
      <x:c r="L237" s="25">
        <x:f>IF(J237&lt;M237,119,"")</x:f>
        <x:v>119</x:v>
      </x:c>
      <x:c r="M237" s="34">
        <x:f>R8*C237</x:f>
        <x:v>10</x:v>
      </x:c>
      <x:c r="N237" s="35">
        <x:f>J237-M237</x:f>
        <x:v>-3</x:v>
      </x:c>
    </x:row>
    <x:row r="238" spans="1:14" customFormat="1" ht="18" customHeight="1">
      <x:c r="A238" s="15" t="s">
        <x:v>149</x:v>
      </x:c>
      <x:c r="B238" s="14" t="s">
        <x:v>229</x:v>
      </x:c>
      <x:c r="C238" s="1">
        <x:v>1</x:v>
      </x:c>
      <x:c r="D238" s="14" t="s">
        <x:v>47</x:v>
      </x:c>
      <x:c r="E238" s="6" t="s">
        <x:v>162</x:v>
      </x:c>
      <x:c r="F238" s="33">
        <x:f>'2026.9.9'!J186</x:f>
        <x:v>7</x:v>
      </x:c>
      <x:c r="G238" s="39">
        <x:f>J8</x:f>
        <x:v>0</x:v>
      </x:c>
      <x:c r="H238" s="1"/>
      <x:c r="I238" s="1"/>
      <x:c r="J238" s="36">
        <x:f>F238+I238-G238-H238</x:f>
        <x:v>7</x:v>
      </x:c>
      <x:c r="K238" s="37">
        <x:f>J238/C238</x:f>
        <x:v>7</x:v>
      </x:c>
      <x:c r="L238" s="25">
        <x:f>IF(J238&lt;M238,119,"")</x:f>
        <x:v>119</x:v>
      </x:c>
      <x:c r="M238" s="34">
        <x:f>R8*C238</x:f>
        <x:v>10</x:v>
      </x:c>
      <x:c r="N238" s="35">
        <x:f>J238-M238</x:f>
        <x:v>-3</x:v>
      </x:c>
    </x:row>
    <x:row r="239" spans="1:14" customFormat="1" ht="18" customHeight="1">
      <x:c r="A239" s="15" t="s">
        <x:v>149</x:v>
      </x:c>
      <x:c r="B239" s="14" t="s">
        <x:v>229</x:v>
      </x:c>
      <x:c r="C239" s="1">
        <x:v>1</x:v>
      </x:c>
      <x:c r="D239" s="14" t="s">
        <x:v>73</x:v>
      </x:c>
      <x:c r="E239" s="1" t="s">
        <x:v>289</x:v>
      </x:c>
      <x:c r="F239" s="33">
        <x:f>'2026.9.9'!J187</x:f>
        <x:v>2</x:v>
      </x:c>
      <x:c r="G239" s="39">
        <x:f>J9</x:f>
        <x:v>2</x:v>
      </x:c>
      <x:c r="H239" s="1"/>
      <x:c r="I239" s="1"/>
      <x:c r="J239" s="36">
        <x:f>F239+I239-G239-H239</x:f>
        <x:v>0</x:v>
      </x:c>
      <x:c r="K239" s="37">
        <x:f>J239/C239</x:f>
        <x:v>0</x:v>
      </x:c>
      <x:c r="L239" s="25">
        <x:f>IF(J239&lt;M239,119,"")</x:f>
        <x:v>119</x:v>
      </x:c>
      <x:c r="M239" s="34">
        <x:f>R9*C239</x:f>
        <x:v>10</x:v>
      </x:c>
      <x:c r="N239" s="35">
        <x:f>J239-M239</x:f>
        <x:v>-10</x:v>
      </x:c>
    </x:row>
    <x:row r="240" spans="1:14" customFormat="1" ht="18" customHeight="1">
      <x:c r="A240" s="15" t="s">
        <x:v>149</x:v>
      </x:c>
      <x:c r="B240" s="14" t="s">
        <x:v>229</x:v>
      </x:c>
      <x:c r="C240" s="1">
        <x:v>1</x:v>
      </x:c>
      <x:c r="D240" s="14" t="s">
        <x:v>73</x:v>
      </x:c>
      <x:c r="E240" s="6" t="s">
        <x:v>162</x:v>
      </x:c>
      <x:c r="F240" s="33">
        <x:f>'2026.9.9'!J188</x:f>
        <x:v>2</x:v>
      </x:c>
      <x:c r="G240" s="39">
        <x:f>J9</x:f>
        <x:v>2</x:v>
      </x:c>
      <x:c r="H240" s="1"/>
      <x:c r="I240" s="1"/>
      <x:c r="J240" s="36">
        <x:f>F240+I240-G240-H240</x:f>
        <x:v>0</x:v>
      </x:c>
      <x:c r="K240" s="37">
        <x:f>J240/C240</x:f>
        <x:v>0</x:v>
      </x:c>
      <x:c r="L240" s="25">
        <x:f>IF(J240&lt;M240,119,"")</x:f>
        <x:v>119</x:v>
      </x:c>
      <x:c r="M240" s="34">
        <x:f>R9*C240</x:f>
        <x:v>10</x:v>
      </x:c>
      <x:c r="N240" s="35">
        <x:f>J240-M240</x:f>
        <x:v>-10</x:v>
      </x:c>
    </x:row>
    <x:row r="241" spans="1:14" customFormat="1" ht="18" customHeight="1">
      <x:c r="A241" s="15" t="s">
        <x:v>180</x:v>
      </x:c>
      <x:c r="B241" s="14" t="s">
        <x:v>229</x:v>
      </x:c>
      <x:c r="C241" s="1">
        <x:v>1</x:v>
      </x:c>
      <x:c r="D241" s="14" t="s">
        <x:v>22</x:v>
      </x:c>
      <x:c r="E241" s="6" t="s">
        <x:v>37</x:v>
      </x:c>
      <x:c r="F241" s="33">
        <x:f>'2026.9.9'!J189</x:f>
        <x:v>0</x:v>
      </x:c>
      <x:c r="G241" s="39">
        <x:f>H24*C241</x:f>
        <x:v>0</x:v>
      </x:c>
      <x:c r="H241" s="1"/>
      <x:c r="I241" s="1"/>
      <x:c r="J241" s="36">
        <x:f>F241+I241-G241-H241</x:f>
        <x:v>0</x:v>
      </x:c>
      <x:c r="K241" s="37">
        <x:f>J241/C241</x:f>
        <x:v>0</x:v>
      </x:c>
      <x:c r="L241" s="25" t="str">
        <x:f>IF(J241&lt;M241,119,"")</x:f>
        <x:v/>
      </x:c>
      <x:c r="M241" s="34">
        <x:f>P24*C241</x:f>
        <x:v>0</x:v>
      </x:c>
      <x:c r="N241" s="35">
        <x:f>J241-M241</x:f>
        <x:v>0</x:v>
      </x:c>
    </x:row>
    <x:row r="242" spans="1:14" customFormat="1" ht="18" customHeight="1">
      <x:c r="A242" s="15" t="s">
        <x:v>180</x:v>
      </x:c>
      <x:c r="B242" s="14" t="s">
        <x:v>229</x:v>
      </x:c>
      <x:c r="C242" s="1">
        <x:v>1</x:v>
      </x:c>
      <x:c r="D242" s="14" t="s">
        <x:v>96</x:v>
      </x:c>
      <x:c r="E242" s="6" t="s">
        <x:v>118</x:v>
      </x:c>
      <x:c r="F242" s="33">
        <x:f>'2026.9.9'!J190</x:f>
        <x:v>2</x:v>
      </x:c>
      <x:c r="G242" s="39">
        <x:f>H25*C242</x:f>
        <x:v>0</x:v>
      </x:c>
      <x:c r="H242" s="1"/>
      <x:c r="I242" s="1"/>
      <x:c r="J242" s="36">
        <x:f>F242+I242-G242-H242</x:f>
        <x:v>2</x:v>
      </x:c>
      <x:c r="K242" s="37">
        <x:f>J242/C242</x:f>
        <x:v>2</x:v>
      </x:c>
      <x:c r="L242" s="25" t="str">
        <x:f>IF(J242&lt;M242,119,"")</x:f>
        <x:v/>
      </x:c>
      <x:c r="M242" s="34">
        <x:f>P25*C242</x:f>
        <x:v>0</x:v>
      </x:c>
      <x:c r="N242" s="35">
        <x:f>J242-M242</x:f>
        <x:v>2</x:v>
      </x:c>
    </x:row>
    <x:row r="243" spans="1:14" customHeight="1">
      <x:c r="A243" s="15" t="s">
        <x:v>163</x:v>
      </x:c>
      <x:c r="B243" s="14" t="s">
        <x:v>143</x:v>
      </x:c>
      <x:c r="C243" s="2">
        <x:v>16</x:v>
      </x:c>
      <x:c r="D243" s="9" t="s">
        <x:v>268</x:v>
      </x:c>
      <x:c r="E243" s="24" t="s">
        <x:v>35</x:v>
      </x:c>
      <x:c r="F243" s="33">
        <x:f>'2026.9.9'!J191</x:f>
        <x:v>916</x:v>
      </x:c>
      <x:c r="G243" s="39">
        <x:f>SUM(H6:H15)*16+SUM(H17:H20)*8</x:f>
        <x:v>0</x:v>
      </x:c>
      <x:c r="J243" s="36">
        <x:f>F243+I243-G243-H243</x:f>
        <x:v>916</x:v>
      </x:c>
      <x:c r="K243" s="37">
        <x:f>J243/C243</x:f>
        <x:v>57.25</x:v>
      </x:c>
      <x:c r="L243" s="25">
        <x:f>IF(J243&lt;M243,119,"")</x:f>
        <x:v>119</x:v>
      </x:c>
      <x:c r="M243" s="34">
        <x:f>SUM(P4:P20)*C243</x:f>
        <x:v>1328</x:v>
      </x:c>
      <x:c r="N243" s="35">
        <x:f>J243-M243</x:f>
        <x:v>-412</x:v>
      </x:c>
    </x:row>
    <x:row r="244" spans="1:14">
      <x:c r="A244" s="15" t="s">
        <x:v>163</x:v>
      </x:c>
      <x:c r="B244" s="14" t="s">
        <x:v>143</x:v>
      </x:c>
      <x:c r="C244" s="2">
        <x:v>8</x:v>
      </x:c>
      <x:c r="D244" s="9" t="s">
        <x:v>268</x:v>
      </x:c>
      <x:c r="E244" s="1" t="s">
        <x:v>54</x:v>
      </x:c>
      <x:c r="F244" s="33">
        <x:f>'2026.9.9'!J192</x:f>
        <x:v>1190</x:v>
      </x:c>
      <x:c r="G244" s="39">
        <x:f>SUM(H6:H15)*8+SUM(H17:H20)*8</x:f>
        <x:v>0</x:v>
      </x:c>
      <x:c r="J244" s="36">
        <x:f>F244+I244-G244-H244</x:f>
        <x:v>1190</x:v>
      </x:c>
      <x:c r="K244" s="37">
        <x:f>J244/C244</x:f>
        <x:v>148.75</x:v>
      </x:c>
      <x:c r="L244" s="25" t="str">
        <x:f>IF(J244&lt;M244,119,"")</x:f>
        <x:v/>
      </x:c>
      <x:c r="M244" s="34">
        <x:f>SUM(P4:P20)*C244</x:f>
        <x:v>664</x:v>
      </x:c>
      <x:c r="N244" s="35">
        <x:f>J244-M244</x:f>
        <x:v>526</x:v>
      </x:c>
    </x:row>
    <x:row r="245" spans="1:14">
      <x:c r="A245" s="15" t="s">
        <x:v>163</x:v>
      </x:c>
      <x:c r="B245" s="14" t="s">
        <x:v>143</x:v>
      </x:c>
      <x:c r="C245" s="2">
        <x:v>8</x:v>
      </x:c>
      <x:c r="D245" s="9" t="s">
        <x:v>70</x:v>
      </x:c>
      <x:c r="E245" s="1" t="s">
        <x:v>20</x:v>
      </x:c>
      <x:c r="F245" s="33">
        <x:f>'2026.9.9'!J193</x:f>
        <x:v>740</x:v>
      </x:c>
      <x:c r="G245" s="39">
        <x:f>SUM(H21)*C245</x:f>
        <x:v>0</x:v>
      </x:c>
      <x:c r="J245" s="36">
        <x:f>F245+I245-G245-H245</x:f>
        <x:v>740</x:v>
      </x:c>
      <x:c r="K245" s="37">
        <x:f>J245/C245</x:f>
        <x:v>92.5</x:v>
      </x:c>
      <x:c r="L245" s="25" t="str">
        <x:f>IF(J245&lt;M245,119,"")</x:f>
        <x:v/>
      </x:c>
      <x:c r="M245" s="34">
        <x:f>P21*C245</x:f>
        <x:v>136</x:v>
      </x:c>
      <x:c r="N245" s="35">
        <x:f>J245-M245</x:f>
        <x:v>604</x:v>
      </x:c>
    </x:row>
    <x:row r="246" spans="1:14">
      <x:c r="A246" s="15" t="s">
        <x:v>163</x:v>
      </x:c>
      <x:c r="B246" s="14" t="s">
        <x:v>143</x:v>
      </x:c>
      <x:c r="C246" s="2">
        <x:v>8</x:v>
      </x:c>
      <x:c r="D246" s="9" t="s">
        <x:v>249</x:v>
      </x:c>
      <x:c r="E246" s="1" t="s">
        <x:v>58</x:v>
      </x:c>
      <x:c r="F246" s="33">
        <x:f>'2026.9.9'!J194</x:f>
        <x:v>130</x:v>
      </x:c>
      <x:c r="G246" s="39">
        <x:f>SUM(H17:H20)*C246</x:f>
        <x:v>0</x:v>
      </x:c>
      <x:c r="J246" s="36">
        <x:f>F246+I246-G246-H246</x:f>
        <x:v>130</x:v>
      </x:c>
      <x:c r="K246" s="37">
        <x:f>J246/C246</x:f>
        <x:v>16.25</x:v>
      </x:c>
      <x:c r="L246" s="25">
        <x:f>IF(J246&lt;M246,119,"")</x:f>
        <x:v>119</x:v>
      </x:c>
      <x:c r="M246" s="34">
        <x:f>SUM(P17:P20)*C246</x:f>
        <x:v>152</x:v>
      </x:c>
      <x:c r="N246" s="35">
        <x:f>J246-M246</x:f>
        <x:v>-22</x:v>
      </x:c>
    </x:row>
    <x:row r="247" spans="1:14">
      <x:c r="A247" s="15" t="s">
        <x:v>163</x:v>
      </x:c>
      <x:c r="B247" s="14" t="s">
        <x:v>143</x:v>
      </x:c>
      <x:c r="C247" s="2">
        <x:v>8</x:v>
      </x:c>
      <x:c r="D247" s="9" t="s">
        <x:v>70</x:v>
      </x:c>
      <x:c r="E247" s="1" t="s">
        <x:v>77</x:v>
      </x:c>
      <x:c r="F247" s="33">
        <x:f>'2026.9.9'!J195</x:f>
        <x:v>440</x:v>
      </x:c>
      <x:c r="G247" s="39">
        <x:f>H21*8</x:f>
        <x:v>0</x:v>
      </x:c>
      <x:c r="J247" s="36">
        <x:f>F247+I247-G247-H247</x:f>
        <x:v>440</x:v>
      </x:c>
      <x:c r="K247" s="37">
        <x:f>J247/C247</x:f>
        <x:v>55</x:v>
      </x:c>
      <x:c r="L247" s="25" t="str">
        <x:f>IF(J247&lt;M247,119,"")</x:f>
        <x:v/>
      </x:c>
      <x:c r="M247" s="34">
        <x:f>P21*C247</x:f>
        <x:v>136</x:v>
      </x:c>
      <x:c r="N247" s="35">
        <x:f>J247-M247</x:f>
        <x:v>304</x:v>
      </x:c>
    </x:row>
    <x:row r="248" spans="1:14">
      <x:c r="A248" s="15" t="s">
        <x:v>163</x:v>
      </x:c>
      <x:c r="B248" s="14" t="s">
        <x:v>143</x:v>
      </x:c>
      <x:c r="C248" s="2">
        <x:v>8</x:v>
      </x:c>
      <x:c r="D248" s="9" t="s">
        <x:v>277</x:v>
      </x:c>
      <x:c r="E248" s="1" t="s">
        <x:v>28</x:v>
      </x:c>
      <x:c r="F248" s="33">
        <x:f>'2026.9.9'!J196</x:f>
        <x:v>425</x:v>
      </x:c>
      <x:c r="G248" s="39">
        <x:f>SUM(H21,J9)*C248</x:f>
        <x:v>16</x:v>
      </x:c>
      <x:c r="J248" s="36">
        <x:f>F248+I248-G248-H248</x:f>
        <x:v>409</x:v>
      </x:c>
      <x:c r="K248" s="37">
        <x:f>J248/C248</x:f>
        <x:v>51.125</x:v>
      </x:c>
      <x:c r="L248" s="25" t="str">
        <x:f>IF(J248&lt;M248,119,"")</x:f>
        <x:v/>
      </x:c>
      <x:c r="M248" s="34">
        <x:f>SUM(O21,R9)*C248</x:f>
        <x:v>80</x:v>
      </x:c>
      <x:c r="N248" s="35">
        <x:f>J248-M248</x:f>
        <x:v>329</x:v>
      </x:c>
    </x:row>
    <x:row r="249" spans="1:14" customFormat="1">
      <x:c r="A249" s="15" t="s">
        <x:v>163</x:v>
      </x:c>
      <x:c r="B249" s="14">
        <x:v>10.9</x:v>
      </x:c>
      <x:c r="C249" s="2">
        <x:v>4</x:v>
      </x:c>
      <x:c r="D249" s="14" t="s">
        <x:v>244</x:v>
      </x:c>
      <x:c r="E249" s="1" t="s">
        <x:v>213</x:v>
      </x:c>
      <x:c r="F249" s="33">
        <x:f>'2026.9.9'!J197</x:f>
        <x:v>26</x:v>
      </x:c>
      <x:c r="G249" s="39">
        <x:f>H22*C249</x:f>
        <x:v>0</x:v>
      </x:c>
      <x:c r="H249" s="1"/>
      <x:c r="I249" s="1"/>
      <x:c r="J249" s="36">
        <x:f>F249+I249-G249-H249</x:f>
        <x:v>26</x:v>
      </x:c>
      <x:c r="K249" s="37">
        <x:f>J249/C249</x:f>
        <x:v>6.5</x:v>
      </x:c>
      <x:c r="L249" s="25" t="str">
        <x:f>IF(J249&lt;M249,119,"")</x:f>
        <x:v/>
      </x:c>
      <x:c r="M249" s="34">
        <x:f>P22*C249</x:f>
        <x:v>0</x:v>
      </x:c>
      <x:c r="N249" s="35">
        <x:f>J249-M249</x:f>
        <x:v>26</x:v>
      </x:c>
    </x:row>
    <x:row r="250" spans="1:14" customFormat="1">
      <x:c r="A250" s="15" t="s">
        <x:v>163</x:v>
      </x:c>
      <x:c r="B250" s="14">
        <x:v>10.9</x:v>
      </x:c>
      <x:c r="C250" s="2">
        <x:v>4</x:v>
      </x:c>
      <x:c r="D250" s="14" t="s">
        <x:v>276</x:v>
      </x:c>
      <x:c r="E250" s="1" t="s">
        <x:v>210</x:v>
      </x:c>
      <x:c r="F250" s="33">
        <x:f>'2026.9.9'!J198</x:f>
        <x:v>3</x:v>
      </x:c>
      <x:c r="G250" s="39">
        <x:f>SUM(H22:H23)*C250</x:f>
        <x:v>0</x:v>
      </x:c>
      <x:c r="H250" s="1"/>
      <x:c r="I250" s="1"/>
      <x:c r="J250" s="36">
        <x:f>F250+I250-G250-H250</x:f>
        <x:v>3</x:v>
      </x:c>
      <x:c r="K250" s="37">
        <x:f>J250/C250</x:f>
        <x:v>0.75</x:v>
      </x:c>
      <x:c r="L250" s="25" t="str">
        <x:f>IF(J250&lt;M250,119,"")</x:f>
        <x:v/>
      </x:c>
      <x:c r="M250" s="34">
        <x:f>SUM(P22:P23)*C250</x:f>
        <x:v>0</x:v>
      </x:c>
      <x:c r="N250" s="35">
        <x:f>J250-M250</x:f>
        <x:v>3</x:v>
      </x:c>
    </x:row>
    <x:row r="251" spans="1:14" customFormat="1">
      <x:c r="A251" s="15" t="s">
        <x:v>163</x:v>
      </x:c>
      <x:c r="B251" s="14">
        <x:v>10.9</x:v>
      </x:c>
      <x:c r="C251" s="2">
        <x:v>4</x:v>
      </x:c>
      <x:c r="D251" s="14" t="s">
        <x:v>247</x:v>
      </x:c>
      <x:c r="E251" s="1" t="s">
        <x:v>224</x:v>
      </x:c>
      <x:c r="F251" s="33">
        <x:f>'2026.9.9'!J199</x:f>
        <x:v>6</x:v>
      </x:c>
      <x:c r="G251" s="39">
        <x:f>H23*C251</x:f>
        <x:v>0</x:v>
      </x:c>
      <x:c r="H251" s="1"/>
      <x:c r="I251" s="1"/>
      <x:c r="J251" s="36">
        <x:f>F251+I251-G251-H251</x:f>
        <x:v>6</x:v>
      </x:c>
      <x:c r="K251" s="37">
        <x:f>J251/C251</x:f>
        <x:v>1.5</x:v>
      </x:c>
      <x:c r="L251" s="25" t="str">
        <x:f>IF(J251&lt;M251,119,"")</x:f>
        <x:v/>
      </x:c>
      <x:c r="M251" s="34">
        <x:f>P23*C251</x:f>
        <x:v>0</x:v>
      </x:c>
      <x:c r="N251" s="35">
        <x:f>J251-M251</x:f>
        <x:v>6</x:v>
      </x:c>
    </x:row>
    <x:row r="252" spans="1:14" customFormat="1">
      <x:c r="A252" s="15" t="s">
        <x:v>163</x:v>
      </x:c>
      <x:c r="B252" s="14">
        <x:v>10.9</x:v>
      </x:c>
      <x:c r="C252" s="2">
        <x:v>4</x:v>
      </x:c>
      <x:c r="D252" s="14" t="s">
        <x:v>276</x:v>
      </x:c>
      <x:c r="E252" s="1" t="s">
        <x:v>226</x:v>
      </x:c>
      <x:c r="F252" s="33">
        <x:f>'2026.9.9'!J200</x:f>
        <x:v>2</x:v>
      </x:c>
      <x:c r="G252" s="39">
        <x:f>SUM(H22:H23)*C252</x:f>
        <x:v>0</x:v>
      </x:c>
      <x:c r="H252" s="1"/>
      <x:c r="I252" s="1"/>
      <x:c r="J252" s="36">
        <x:f>F252+I252-G252-H252</x:f>
        <x:v>2</x:v>
      </x:c>
      <x:c r="K252" s="37">
        <x:f>J252/C252</x:f>
        <x:v>0.5</x:v>
      </x:c>
      <x:c r="L252" s="25" t="str">
        <x:f>IF(J252&lt;M252,119,"")</x:f>
        <x:v/>
      </x:c>
      <x:c r="M252" s="34">
        <x:f>SUM(P22:P23)*C252</x:f>
        <x:v>0</x:v>
      </x:c>
      <x:c r="N252" s="35">
        <x:f>J252-M252</x:f>
        <x:v>2</x:v>
      </x:c>
    </x:row>
    <x:row r="253" spans="1:14" customFormat="1">
      <x:c r="A253" s="15" t="s">
        <x:v>163</x:v>
      </x:c>
      <x:c r="B253" s="14" t="s">
        <x:v>143</x:v>
      </x:c>
      <x:c r="C253" s="2">
        <x:v>8</x:v>
      </x:c>
      <x:c r="D253" s="14" t="s">
        <x:v>11</x:v>
      </x:c>
      <x:c r="E253" s="1" t="s">
        <x:v>209</x:v>
      </x:c>
      <x:c r="F253" s="33">
        <x:f>'2026.9.9'!J201</x:f>
        <x:v>23</x:v>
      </x:c>
      <x:c r="G253" s="39">
        <x:f>SUM(H24:H25)*C253</x:f>
        <x:v>0</x:v>
      </x:c>
      <x:c r="H253" s="1"/>
      <x:c r="I253" s="1"/>
      <x:c r="J253" s="36">
        <x:f>F253+I253-G253-H253</x:f>
        <x:v>23</x:v>
      </x:c>
      <x:c r="K253" s="37">
        <x:f>J253/C253</x:f>
        <x:v>2.875</x:v>
      </x:c>
      <x:c r="L253" s="25" t="str">
        <x:f>IF(J253&lt;M253,119,"")</x:f>
        <x:v/>
      </x:c>
      <x:c r="M253" s="34">
        <x:f>SUM(P24:P25)*C253</x:f>
        <x:v>0</x:v>
      </x:c>
      <x:c r="N253" s="35">
        <x:f>J253-M253</x:f>
        <x:v>23</x:v>
      </x:c>
    </x:row>
    <x:row r="254" spans="1:14" customFormat="1">
      <x:c r="A254" s="15" t="s">
        <x:v>163</x:v>
      </x:c>
      <x:c r="B254" s="14" t="s">
        <x:v>143</x:v>
      </x:c>
      <x:c r="C254" s="2">
        <x:v>20</x:v>
      </x:c>
      <x:c r="D254" s="14" t="s">
        <x:v>11</x:v>
      </x:c>
      <x:c r="E254" s="1" t="s">
        <x:v>217</x:v>
      </x:c>
      <x:c r="F254" s="33">
        <x:f>'2026.9.9'!J202</x:f>
        <x:v>114</x:v>
      </x:c>
      <x:c r="G254" s="39">
        <x:f>SUM(H24:H25)*C254</x:f>
        <x:v>0</x:v>
      </x:c>
      <x:c r="H254" s="1"/>
      <x:c r="I254" s="1"/>
      <x:c r="J254" s="36">
        <x:f>F254+I254-G254-H254</x:f>
        <x:v>114</x:v>
      </x:c>
      <x:c r="K254" s="37">
        <x:f>J254/C254</x:f>
        <x:v>5.7000000000000002</x:v>
      </x:c>
      <x:c r="L254" s="25" t="str">
        <x:f>IF(J254&lt;M254,119,"")</x:f>
        <x:v/>
      </x:c>
      <x:c r="M254" s="34">
        <x:f>SUM(P24:P25)*C254</x:f>
        <x:v>0</x:v>
      </x:c>
      <x:c r="N254" s="35">
        <x:f>J254-M254</x:f>
        <x:v>114</x:v>
      </x:c>
    </x:row>
    <x:row r="255" spans="1:14" customFormat="1">
      <x:c r="A255" s="15" t="s">
        <x:v>163</x:v>
      </x:c>
      <x:c r="B255" s="14" t="s">
        <x:v>143</x:v>
      </x:c>
      <x:c r="C255" s="2">
        <x:v>8</x:v>
      </x:c>
      <x:c r="D255" s="14" t="s">
        <x:v>11</x:v>
      </x:c>
      <x:c r="E255" s="1" t="s">
        <x:v>228</x:v>
      </x:c>
      <x:c r="F255" s="33">
        <x:f>'2026.9.9'!J203</x:f>
        <x:v>36</x:v>
      </x:c>
      <x:c r="G255" s="39">
        <x:f>SUM(H24:H25)*C255</x:f>
        <x:v>0</x:v>
      </x:c>
      <x:c r="H255" s="1"/>
      <x:c r="I255" s="1"/>
      <x:c r="J255" s="36">
        <x:f>F255+I255-G255-H255</x:f>
        <x:v>36</x:v>
      </x:c>
      <x:c r="K255" s="37">
        <x:f>J255/C255</x:f>
        <x:v>4.5</x:v>
      </x:c>
      <x:c r="L255" s="25" t="str">
        <x:f>IF(J255&lt;M255,119,"")</x:f>
        <x:v/>
      </x:c>
      <x:c r="M255" s="34">
        <x:f>SUM(P24:P25)*C255</x:f>
        <x:v>0</x:v>
      </x:c>
      <x:c r="N255" s="35">
        <x:f>J255-M255</x:f>
        <x:v>36</x:v>
      </x:c>
    </x:row>
    <x:row r="256" spans="1:14">
      <x:c r="A256" s="15" t="s">
        <x:v>163</x:v>
      </x:c>
      <x:c r="B256" s="14" t="s">
        <x:v>143</x:v>
      </x:c>
      <x:c r="C256" s="2">
        <x:v>8</x:v>
      </x:c>
      <x:c r="D256" s="9" t="s">
        <x:v>47</x:v>
      </x:c>
      <x:c r="E256" s="1" t="s">
        <x:v>46</x:v>
      </x:c>
      <x:c r="F256" s="33">
        <x:f>'2026.9.9'!J204</x:f>
        <x:v>91</x:v>
      </x:c>
      <x:c r="G256" s="39">
        <x:f>J8*C256</x:f>
        <x:v>0</x:v>
      </x:c>
      <x:c r="J256" s="36">
        <x:f>F256+I256-G256-H256</x:f>
        <x:v>91</x:v>
      </x:c>
      <x:c r="K256" s="37">
        <x:f>J256/C256</x:f>
        <x:v>11.375</x:v>
      </x:c>
      <x:c r="L256" s="25" t="str">
        <x:f>IF(J256&lt;M256,119,"")</x:f>
        <x:v/>
      </x:c>
      <x:c r="M256" s="34">
        <x:f>R8*C256</x:f>
        <x:v>80</x:v>
      </x:c>
      <x:c r="N256" s="35">
        <x:f>J256-M256</x:f>
        <x:v>11</x:v>
      </x:c>
    </x:row>
    <x:row r="257" spans="1:14">
      <x:c r="A257" s="15" t="s">
        <x:v>163</x:v>
      </x:c>
      <x:c r="B257" s="14" t="s">
        <x:v>143</x:v>
      </x:c>
      <x:c r="C257" s="2">
        <x:v>4</x:v>
      </x:c>
      <x:c r="D257" s="9" t="s">
        <x:v>275</x:v>
      </x:c>
      <x:c r="E257" s="1" t="s">
        <x:v>42</x:v>
      </x:c>
      <x:c r="F257" s="33">
        <x:f>'2026.9.9'!J205</x:f>
        <x:v>102</x:v>
      </x:c>
      <x:c r="G257" s="39">
        <x:f>SUM(J8:J9)*C257</x:f>
        <x:v>8</x:v>
      </x:c>
      <x:c r="H257" s="1">
        <x:v>4</x:v>
      </x:c>
      <x:c r="J257" s="36">
        <x:f>F257+I257-G257-H257</x:f>
        <x:v>90</x:v>
      </x:c>
      <x:c r="K257" s="37">
        <x:f>J257/C257</x:f>
        <x:v>22.5</x:v>
      </x:c>
      <x:c r="L257" s="25" t="str">
        <x:f>IF(J257&lt;M257,119,"")</x:f>
        <x:v/>
      </x:c>
      <x:c r="M257" s="34">
        <x:f>SUM(R8:R9)*C257</x:f>
        <x:v>80</x:v>
      </x:c>
      <x:c r="N257" s="35">
        <x:f>J257-M257</x:f>
        <x:v>10</x:v>
      </x:c>
    </x:row>
    <x:row r="258" spans="1:14" customHeight="1">
      <x:c r="A258" s="15" t="s">
        <x:v>163</x:v>
      </x:c>
      <x:c r="B258" s="14" t="s">
        <x:v>137</x:v>
      </x:c>
      <x:c r="C258" s="2">
        <x:v>4</x:v>
      </x:c>
      <x:c r="D258" s="9" t="s">
        <x:v>83</x:v>
      </x:c>
      <x:c r="E258" s="1" t="s">
        <x:v>208</x:v>
      </x:c>
      <x:c r="F258" s="33">
        <x:f>'2026.9.9'!J206</x:f>
        <x:v>110</x:v>
      </x:c>
      <x:c r="G258" s="39">
        <x:f>J6*C258</x:f>
        <x:v>0</x:v>
      </x:c>
      <x:c r="J258" s="36">
        <x:f>F258+I258-G258-H258</x:f>
        <x:v>110</x:v>
      </x:c>
      <x:c r="K258" s="37">
        <x:f>J258/C258</x:f>
        <x:v>27.5</x:v>
      </x:c>
      <x:c r="L258" s="25" t="str">
        <x:f>IF(J258&lt;M258,119,"")</x:f>
        <x:v/>
      </x:c>
      <x:c r="M258" s="34">
        <x:f>R6*C258</x:f>
        <x:v>52</x:v>
      </x:c>
      <x:c r="N258" s="35">
        <x:f>J258-M258</x:f>
        <x:v>58</x:v>
      </x:c>
    </x:row>
    <x:row r="259" spans="1:14">
      <x:c r="A259" s="15" t="s">
        <x:v>163</x:v>
      </x:c>
      <x:c r="B259" s="14" t="s">
        <x:v>137</x:v>
      </x:c>
      <x:c r="C259" s="2">
        <x:v>8</x:v>
      </x:c>
      <x:c r="D259" s="9" t="s">
        <x:v>83</x:v>
      </x:c>
      <x:c r="E259" s="1" t="s">
        <x:v>167</x:v>
      </x:c>
      <x:c r="F259" s="33">
        <x:f>'2026.9.9'!J207</x:f>
        <x:v>70</x:v>
      </x:c>
      <x:c r="G259" s="39">
        <x:f>J6*C259</x:f>
        <x:v>0</x:v>
      </x:c>
      <x:c r="J259" s="36">
        <x:f>F259+I259-G259-H259</x:f>
        <x:v>70</x:v>
      </x:c>
      <x:c r="K259" s="37">
        <x:f>J259/C259</x:f>
        <x:v>8.75</x:v>
      </x:c>
      <x:c r="L259" s="25">
        <x:f>IF(J259&lt;M259,119,"")</x:f>
        <x:v>119</x:v>
      </x:c>
      <x:c r="M259" s="34">
        <x:f>R6*C259</x:f>
        <x:v>104</x:v>
      </x:c>
      <x:c r="N259" s="35">
        <x:f>J259-M259</x:f>
        <x:v>-34</x:v>
      </x:c>
    </x:row>
    <x:row r="260" spans="1:14" customFormat="1">
      <x:c r="A260" s="15" t="s">
        <x:v>163</x:v>
      </x:c>
      <x:c r="B260" s="14" t="s">
        <x:v>137</x:v>
      </x:c>
      <x:c r="C260" s="2">
        <x:v>4</x:v>
      </x:c>
      <x:c r="D260" s="9" t="s">
        <x:v>41</x:v>
      </x:c>
      <x:c r="E260" s="1" t="s">
        <x:v>168</x:v>
      </x:c>
      <x:c r="F260" s="33">
        <x:f>'2026.9.9'!J208</x:f>
        <x:v>64</x:v>
      </x:c>
      <x:c r="G260" s="39">
        <x:f>J7*F260</x:f>
        <x:v>0</x:v>
      </x:c>
      <x:c r="H260" s="1"/>
      <x:c r="I260" s="1"/>
      <x:c r="J260" s="36">
        <x:f>F260+I260-G260-H260</x:f>
        <x:v>64</x:v>
      </x:c>
      <x:c r="K260" s="37">
        <x:f>J260/C260</x:f>
        <x:v>16</x:v>
      </x:c>
      <x:c r="L260" s="25" t="str">
        <x:f>IF(J260&lt;M260,119,"")</x:f>
        <x:v/>
      </x:c>
      <x:c r="M260" s="34">
        <x:f>R7*C260</x:f>
        <x:v>0</x:v>
      </x:c>
      <x:c r="N260" s="35">
        <x:f>J260-M260</x:f>
        <x:v>64</x:v>
      </x:c>
    </x:row>
    <x:row r="261" spans="1:14" customFormat="1">
      <x:c r="A261" s="15" t="s">
        <x:v>163</x:v>
      </x:c>
      <x:c r="B261" s="14" t="s">
        <x:v>137</x:v>
      </x:c>
      <x:c r="C261" s="2">
        <x:v>8</x:v>
      </x:c>
      <x:c r="D261" s="9" t="s">
        <x:v>41</x:v>
      </x:c>
      <x:c r="E261" s="1" t="s">
        <x:v>139</x:v>
      </x:c>
      <x:c r="F261" s="33">
        <x:f>'2026.9.9'!J209</x:f>
        <x:v>49</x:v>
      </x:c>
      <x:c r="G261" s="39">
        <x:f>J7*C261</x:f>
        <x:v>0</x:v>
      </x:c>
      <x:c r="H261" s="1"/>
      <x:c r="I261" s="1"/>
      <x:c r="J261" s="36">
        <x:f>F261+I261-G261-H261</x:f>
        <x:v>49</x:v>
      </x:c>
      <x:c r="K261" s="37">
        <x:f>J261/C261</x:f>
        <x:v>6.125</x:v>
      </x:c>
      <x:c r="L261" s="25" t="str">
        <x:f>IF(J261&lt;M261,119,"")</x:f>
        <x:v/>
      </x:c>
      <x:c r="M261" s="34">
        <x:f>R7*C261</x:f>
        <x:v>0</x:v>
      </x:c>
      <x:c r="N261" s="35">
        <x:f>J261-M261</x:f>
        <x:v>49</x:v>
      </x:c>
    </x:row>
    <x:row r="262" spans="1:14">
      <x:c r="A262" s="11" t="s">
        <x:v>290</x:v>
      </x:c>
      <x:c r="B262" s="9" t="s">
        <x:v>143</x:v>
      </x:c>
      <x:c r="C262" s="1">
        <x:v>24</x:v>
      </x:c>
      <x:c r="D262" s="9" t="s">
        <x:v>262</x:v>
      </x:c>
      <x:c r="E262" s="1" t="s">
        <x:v>205</x:v>
      </x:c>
      <x:c r="F262" s="33">
        <x:f>'2026.9.9'!J210</x:f>
        <x:v>2640</x:v>
      </x:c>
      <x:c r="G262" s="39">
        <x:f>SUM(H6:H15)*C262</x:f>
        <x:v>0</x:v>
      </x:c>
      <x:c r="J262" s="36">
        <x:f>F262+I262-G262-H262</x:f>
        <x:v>2640</x:v>
      </x:c>
      <x:c r="K262" s="37">
        <x:f>J262/C262</x:f>
        <x:v>110</x:v>
      </x:c>
      <x:c r="L262" s="25" t="str">
        <x:f>IF(J262&lt;M262,119,"")</x:f>
        <x:v/>
      </x:c>
      <x:c r="M262" s="34">
        <x:f>SUM(P4:P16)*C262</x:f>
        <x:v>1536</x:v>
      </x:c>
      <x:c r="N262" s="35">
        <x:f>J262-M262</x:f>
        <x:v>1104</x:v>
      </x:c>
    </x:row>
    <x:row r="263" spans="1:14">
      <x:c r="A263" s="11" t="s">
        <x:v>290</x:v>
      </x:c>
      <x:c r="B263" s="9" t="s">
        <x:v>143</x:v>
      </x:c>
      <x:c r="C263" s="1">
        <x:v>24</x:v>
      </x:c>
      <x:c r="D263" s="9" t="s">
        <x:v>249</x:v>
      </x:c>
      <x:c r="E263" s="1" t="s">
        <x:v>178</x:v>
      </x:c>
      <x:c r="F263" s="33">
        <x:f>'2026.9.9'!J211</x:f>
        <x:v>620</x:v>
      </x:c>
      <x:c r="G263" s="39">
        <x:f>SUM(H17:H20)*C263</x:f>
        <x:v>0</x:v>
      </x:c>
      <x:c r="J263" s="36">
        <x:f>F263+I263-G263-H263</x:f>
        <x:v>620</x:v>
      </x:c>
      <x:c r="K263" s="37">
        <x:f>J263/C263</x:f>
        <x:v>25.833333333333332</x:v>
      </x:c>
      <x:c r="L263" s="25" t="str">
        <x:f>IF(J263&lt;M263,119,"")</x:f>
        <x:v/>
      </x:c>
      <x:c r="M263" s="34">
        <x:f>SUM(P17:P20)*C263</x:f>
        <x:v>456</x:v>
      </x:c>
      <x:c r="N263" s="35">
        <x:f>J263-M263</x:f>
        <x:v>164</x:v>
      </x:c>
    </x:row>
    <x:row r="264" spans="1:14">
      <x:c r="A264" s="11" t="s">
        <x:v>290</x:v>
      </x:c>
      <x:c r="B264" s="9" t="s">
        <x:v>143</x:v>
      </x:c>
      <x:c r="C264" s="1">
        <x:v>24</x:v>
      </x:c>
      <x:c r="D264" s="9" t="s">
        <x:v>245</x:v>
      </x:c>
      <x:c r="E264" s="1" t="s">
        <x:v>222</x:v>
      </x:c>
      <x:c r="F264" s="33">
        <x:f>'2026.9.9'!J212</x:f>
        <x:v>1500</x:v>
      </x:c>
      <x:c r="G264" s="39">
        <x:f>SUM(H6:H15)*24+SUM(H17:H20)*16+H21*12</x:f>
        <x:v>0</x:v>
      </x:c>
      <x:c r="J264" s="36">
        <x:f>F264+I264-G264-H264</x:f>
        <x:v>1500</x:v>
      </x:c>
      <x:c r="K264" s="37">
        <x:f>J264/C264</x:f>
        <x:v>62.5</x:v>
      </x:c>
      <x:c r="L264" s="25">
        <x:f>IF(J264&lt;M264,119,"")</x:f>
        <x:v>119</x:v>
      </x:c>
      <x:c r="M264" s="34">
        <x:f>SUM(P4:P21)*C264</x:f>
        <x:v>2400</x:v>
      </x:c>
      <x:c r="N264" s="35">
        <x:f>J264-M264</x:f>
        <x:v>-900</x:v>
      </x:c>
    </x:row>
    <x:row r="265" spans="1:14">
      <x:c r="A265" s="11" t="s">
        <x:v>290</x:v>
      </x:c>
      <x:c r="B265" s="9" t="s">
        <x:v>143</x:v>
      </x:c>
      <x:c r="C265" s="1">
        <x:v>16</x:v>
      </x:c>
      <x:c r="D265" s="9" t="s">
        <x:v>273</x:v>
      </x:c>
      <x:c r="E265" s="1" t="s">
        <x:v>169</x:v>
      </x:c>
      <x:c r="F265" s="33">
        <x:f>'2026.9.9'!J213</x:f>
        <x:v>1150</x:v>
      </x:c>
      <x:c r="G265" s="39">
        <x:f>SUM(H17:H20)*8+(H21*16)</x:f>
        <x:v>0</x:v>
      </x:c>
      <x:c r="J265" s="36">
        <x:f>F265+I265-G265-H265</x:f>
        <x:v>1150</x:v>
      </x:c>
      <x:c r="K265" s="37">
        <x:f>J265/C265</x:f>
        <x:v>71.875</x:v>
      </x:c>
      <x:c r="L265" s="25" t="str">
        <x:f>IF(J265&lt;M265,119,"")</x:f>
        <x:v/>
      </x:c>
      <x:c r="M265" s="34">
        <x:f>SUM(P17:P21)*C265</x:f>
        <x:v>576</x:v>
      </x:c>
      <x:c r="N265" s="35">
        <x:f>J265-M265</x:f>
        <x:v>574</x:v>
      </x:c>
    </x:row>
    <x:row r="266" spans="1:14">
      <x:c r="A266" s="11" t="s">
        <x:v>290</x:v>
      </x:c>
      <x:c r="B266" s="9" t="s">
        <x:v>143</x:v>
      </x:c>
      <x:c r="C266" s="1">
        <x:v>8</x:v>
      </x:c>
      <x:c r="D266" s="9" t="s">
        <x:v>70</x:v>
      </x:c>
      <x:c r="E266" s="1" t="s">
        <x:v>188</x:v>
      </x:c>
      <x:c r="F266" s="33">
        <x:f>'2026.9.9'!J214</x:f>
        <x:v>900</x:v>
      </x:c>
      <x:c r="G266" s="39">
        <x:f>H21*C266</x:f>
        <x:v>0</x:v>
      </x:c>
      <x:c r="J266" s="36">
        <x:f>F266+I266-G266-H266</x:f>
        <x:v>900</x:v>
      </x:c>
      <x:c r="K266" s="37">
        <x:f>J266/C266</x:f>
        <x:v>112.5</x:v>
      </x:c>
      <x:c r="L266" s="25" t="str">
        <x:f>IF(J266&lt;M266,119,"")</x:f>
        <x:v/>
      </x:c>
      <x:c r="M266" s="34">
        <x:f>P21*C266</x:f>
        <x:v>136</x:v>
      </x:c>
      <x:c r="N266" s="35">
        <x:f>J266-M266</x:f>
        <x:v>764</x:v>
      </x:c>
    </x:row>
    <x:row r="267" spans="1:14" customFormat="1">
      <x:c r="A267" s="11" t="s">
        <x:v>290</x:v>
      </x:c>
      <x:c r="B267" s="9">
        <x:v>10.9</x:v>
      </x:c>
      <x:c r="C267" s="1">
        <x:v>5</x:v>
      </x:c>
      <x:c r="D267" s="14" t="s">
        <x:v>276</x:v>
      </x:c>
      <x:c r="E267" s="1" t="s">
        <x:v>222</x:v>
      </x:c>
      <x:c r="F267" s="33">
        <x:f>'2026.9.9'!J215</x:f>
        <x:v>5</x:v>
      </x:c>
      <x:c r="G267" s="39">
        <x:f>SUM(H22:H23)*C267</x:f>
        <x:v>0</x:v>
      </x:c>
      <x:c r="H267" s="1"/>
      <x:c r="I267" s="1"/>
      <x:c r="J267" s="36">
        <x:f>F267+I267-G267-H267</x:f>
        <x:v>5</x:v>
      </x:c>
      <x:c r="K267" s="37">
        <x:f>J267/C267</x:f>
        <x:v>1</x:v>
      </x:c>
      <x:c r="L267" s="25" t="str">
        <x:f>IF(J267&lt;M267,119,"")</x:f>
        <x:v/>
      </x:c>
      <x:c r="M267" s="34">
        <x:f>SUM(P22:P23)*C267</x:f>
        <x:v>0</x:v>
      </x:c>
      <x:c r="N267" s="35">
        <x:f>J267-M267</x:f>
        <x:v>5</x:v>
      </x:c>
    </x:row>
    <x:row r="268" spans="1:14" customFormat="1">
      <x:c r="A268" s="11" t="s">
        <x:v>290</x:v>
      </x:c>
      <x:c r="B268" s="9" t="s">
        <x:v>143</x:v>
      </x:c>
      <x:c r="C268" s="1">
        <x:v>28</x:v>
      </x:c>
      <x:c r="D268" s="14" t="s">
        <x:v>11</x:v>
      </x:c>
      <x:c r="E268" s="1" t="s">
        <x:v>197</x:v>
      </x:c>
      <x:c r="F268" s="33">
        <x:f>'2026.9.9'!J216</x:f>
        <x:v>112</x:v>
      </x:c>
      <x:c r="G268" s="39">
        <x:f>SUM(H24:H25)*C268</x:f>
        <x:v>0</x:v>
      </x:c>
      <x:c r="H268" s="1"/>
      <x:c r="I268" s="1"/>
      <x:c r="J268" s="36">
        <x:f>F268+I268-G268-H268</x:f>
        <x:v>112</x:v>
      </x:c>
      <x:c r="K268" s="37">
        <x:f>J268/C268</x:f>
        <x:v>4</x:v>
      </x:c>
      <x:c r="L268" s="25" t="str">
        <x:f>IF(J268&lt;M268,119,"")</x:f>
        <x:v/>
      </x:c>
      <x:c r="M268" s="34">
        <x:f>SUM(P24:P25)*C268</x:f>
        <x:v>0</x:v>
      </x:c>
      <x:c r="N268" s="35">
        <x:f>J268-M268</x:f>
        <x:v>112</x:v>
      </x:c>
    </x:row>
    <x:row r="269" spans="1:14">
      <x:c r="A269" s="11" t="s">
        <x:v>290</x:v>
      </x:c>
      <x:c r="B269" s="9" t="s">
        <x:v>143</x:v>
      </x:c>
      <x:c r="C269" s="1">
        <x:v>12</x:v>
      </x:c>
      <x:c r="D269" s="9" t="s">
        <x:v>275</x:v>
      </x:c>
      <x:c r="E269" s="1" t="s">
        <x:v>187</x:v>
      </x:c>
      <x:c r="F269" s="33">
        <x:f>'2026.9.9'!J217</x:f>
        <x:v>256</x:v>
      </x:c>
      <x:c r="G269" s="39">
        <x:f>SUM(J8:J9)*C269</x:f>
        <x:v>24</x:v>
      </x:c>
      <x:c r="J269" s="36">
        <x:f>F269+I269-G269-H269</x:f>
        <x:v>232</x:v>
      </x:c>
      <x:c r="K269" s="37">
        <x:f>J269/C269</x:f>
        <x:v>19.333333333333332</x:v>
      </x:c>
      <x:c r="L269" s="25">
        <x:f>IF(J269&lt;M269,119,"")</x:f>
        <x:v>119</x:v>
      </x:c>
      <x:c r="M269" s="34">
        <x:f>SUM(R8:R9)*C269</x:f>
        <x:v>240</x:v>
      </x:c>
      <x:c r="N269" s="35">
        <x:f>J269-M269</x:f>
        <x:v>-8</x:v>
      </x:c>
    </x:row>
    <x:row r="270" spans="1:14">
      <x:c r="A270" s="11" t="s">
        <x:v>290</x:v>
      </x:c>
      <x:c r="B270" s="9" t="s">
        <x:v>137</x:v>
      </x:c>
      <x:c r="C270" s="1">
        <x:v>12</x:v>
      </x:c>
      <x:c r="D270" s="9" t="s">
        <x:v>83</x:v>
      </x:c>
      <x:c r="E270" s="1" t="s">
        <x:v>169</x:v>
      </x:c>
      <x:c r="F270" s="33">
        <x:f>'2026.9.9'!J218</x:f>
        <x:v>320</x:v>
      </x:c>
      <x:c r="G270" s="39">
        <x:f>J6*C270</x:f>
        <x:v>0</x:v>
      </x:c>
      <x:c r="J270" s="36">
        <x:f>F270+I270-G270-H270</x:f>
        <x:v>320</x:v>
      </x:c>
      <x:c r="K270" s="37">
        <x:f>J270/C270</x:f>
        <x:v>26.666666666666668</x:v>
      </x:c>
      <x:c r="L270" s="25" t="str">
        <x:f>IF(J270&lt;M270,119,"")</x:f>
        <x:v/>
      </x:c>
      <x:c r="M270" s="34">
        <x:f>R6*C270</x:f>
        <x:v>156</x:v>
      </x:c>
      <x:c r="N270" s="35">
        <x:f>J270-M270</x:f>
        <x:v>164</x:v>
      </x:c>
    </x:row>
    <x:row r="271" spans="1:14">
      <x:c r="A271" s="11" t="s">
        <x:v>290</x:v>
      </x:c>
      <x:c r="B271" s="9" t="s">
        <x:v>137</x:v>
      </x:c>
      <x:c r="C271" s="1">
        <x:v>12</x:v>
      </x:c>
      <x:c r="D271" s="9" t="s">
        <x:v>41</x:v>
      </x:c>
      <x:c r="E271" s="1" t="s">
        <x:v>187</x:v>
      </x:c>
      <x:c r="F271" s="33">
        <x:f>'2026.9.9'!J219</x:f>
        <x:v>120</x:v>
      </x:c>
      <x:c r="G271" s="39">
        <x:f>J7*C271</x:f>
        <x:v>0</x:v>
      </x:c>
      <x:c r="J271" s="36">
        <x:f>F271+I271-G271-H271</x:f>
        <x:v>120</x:v>
      </x:c>
      <x:c r="K271" s="37">
        <x:f>J271/C271</x:f>
        <x:v>10</x:v>
      </x:c>
      <x:c r="L271" s="25" t="str">
        <x:f>IF(J271&lt;M271,119,"")</x:f>
        <x:v/>
      </x:c>
      <x:c r="M271" s="34">
        <x:f>R7*C271</x:f>
        <x:v>0</x:v>
      </x:c>
      <x:c r="N271" s="35">
        <x:f>J271-M271</x:f>
        <x:v>120</x:v>
      </x:c>
    </x:row>
    <x:row r="272" spans="1:14">
      <x:c r="A272" s="11" t="s">
        <x:v>231</x:v>
      </x:c>
      <x:c r="B272" s="9" t="s">
        <x:v>143</x:v>
      </x:c>
      <x:c r="C272" s="1">
        <x:v>8</x:v>
      </x:c>
      <x:c r="D272" s="9" t="s">
        <x:v>262</x:v>
      </x:c>
      <x:c r="E272" s="1" t="s">
        <x:v>134</x:v>
      </x:c>
      <x:c r="F272" s="33">
        <x:f>'2026.9.9'!J220</x:f>
        <x:v>2400</x:v>
      </x:c>
      <x:c r="G272" s="39">
        <x:f>SUM(H6:H15)*C272</x:f>
        <x:v>0</x:v>
      </x:c>
      <x:c r="J272" s="36">
        <x:f>F272+I272-G272-H272</x:f>
        <x:v>2400</x:v>
      </x:c>
      <x:c r="K272" s="37">
        <x:f>J272/C272</x:f>
        <x:v>300</x:v>
      </x:c>
      <x:c r="L272" s="25" t="str">
        <x:f>IF(J272&lt;M272,119,"")</x:f>
        <x:v/>
      </x:c>
      <x:c r="M272" s="34">
        <x:f>SUM(P4:P16)*C272</x:f>
        <x:v>512</x:v>
      </x:c>
      <x:c r="N272" s="35">
        <x:f>J272-M272</x:f>
        <x:v>1888</x:v>
      </x:c>
    </x:row>
    <x:row r="273" spans="1:14">
      <x:c r="A273" s="11" t="s">
        <x:v>231</x:v>
      </x:c>
      <x:c r="B273" s="9" t="s">
        <x:v>143</x:v>
      </x:c>
      <x:c r="C273" s="1">
        <x:v>4</x:v>
      </x:c>
      <x:c r="D273" s="9" t="s">
        <x:v>249</x:v>
      </x:c>
      <x:c r="E273" s="1" t="s">
        <x:v>135</x:v>
      </x:c>
      <x:c r="F273" s="33">
        <x:f>'2026.9.9'!J221</x:f>
        <x:v>1000</x:v>
      </x:c>
      <x:c r="G273" s="39">
        <x:f>SUM(H17:H20)*C273</x:f>
        <x:v>0</x:v>
      </x:c>
      <x:c r="J273" s="36">
        <x:f>F273+I273-G273-H273</x:f>
        <x:v>1000</x:v>
      </x:c>
      <x:c r="K273" s="37">
        <x:f>J273/C273</x:f>
        <x:v>250</x:v>
      </x:c>
      <x:c r="L273" s="25" t="str">
        <x:f>IF(J273&lt;M273,119,"")</x:f>
        <x:v/>
      </x:c>
      <x:c r="M273" s="34">
        <x:f>SUM(P17:P20)*C273</x:f>
        <x:v>76</x:v>
      </x:c>
      <x:c r="N273" s="35">
        <x:f>J273-M273</x:f>
        <x:v>924</x:v>
      </x:c>
    </x:row>
    <x:row r="274" spans="1:14">
      <x:c r="A274" s="11" t="s">
        <x:v>231</x:v>
      </x:c>
      <x:c r="B274" s="9" t="s">
        <x:v>143</x:v>
      </x:c>
      <x:c r="C274" s="1">
        <x:v>24</x:v>
      </x:c>
      <x:c r="D274" s="9" t="s">
        <x:v>245</x:v>
      </x:c>
      <x:c r="E274" s="1" t="s">
        <x:v>158</x:v>
      </x:c>
      <x:c r="F274" s="33">
        <x:f>'2026.9.9'!J222</x:f>
        <x:v>2200</x:v>
      </x:c>
      <x:c r="G274" s="39">
        <x:f>SUM(H6:H15)*24+SUM(H17:H20)*16+SUM(H21)*4</x:f>
        <x:v>0</x:v>
      </x:c>
      <x:c r="J274" s="36">
        <x:f>F274+I274-G274-H274</x:f>
        <x:v>2200</x:v>
      </x:c>
      <x:c r="K274" s="37">
        <x:f>J274/C274</x:f>
        <x:v>91.666666666666671</x:v>
      </x:c>
      <x:c r="L274" s="25">
        <x:f>IF(J274&lt;M274,119,"")</x:f>
        <x:v>119</x:v>
      </x:c>
      <x:c r="M274" s="34">
        <x:f>SUM(P4:P21)*C274</x:f>
        <x:v>2400</x:v>
      </x:c>
      <x:c r="N274" s="35">
        <x:f>J274-M274</x:f>
        <x:v>-200</x:v>
      </x:c>
    </x:row>
    <x:row r="275" spans="1:14">
      <x:c r="A275" s="11" t="s">
        <x:v>231</x:v>
      </x:c>
      <x:c r="B275" s="9" t="s">
        <x:v>143</x:v>
      </x:c>
      <x:c r="C275" s="1">
        <x:v>18</x:v>
      </x:c>
      <x:c r="D275" s="9" t="s">
        <x:v>273</x:v>
      </x:c>
      <x:c r="E275" s="1" t="s">
        <x:v>173</x:v>
      </x:c>
      <x:c r="F275" s="33">
        <x:f>'2026.9.9'!J223</x:f>
        <x:v>1900</x:v>
      </x:c>
      <x:c r="G275" s="39">
        <x:f>SUM(H17:H20)*8+SUM(H21)*16</x:f>
        <x:v>0</x:v>
      </x:c>
      <x:c r="J275" s="36">
        <x:f>F275+I275-G275-H275</x:f>
        <x:v>1900</x:v>
      </x:c>
      <x:c r="K275" s="37">
        <x:f>J275/C275</x:f>
        <x:v>105.55555555555556</x:v>
      </x:c>
      <x:c r="L275" s="25" t="str">
        <x:f>IF(J275&lt;M275,119,"")</x:f>
        <x:v/>
      </x:c>
      <x:c r="M275" s="34"/>
      <x:c r="N275" s="35">
        <x:f>J275-M275</x:f>
        <x:v>1900</x:v>
      </x:c>
    </x:row>
    <x:row r="276" spans="1:14" customFormat="1">
      <x:c r="A276" s="11" t="s">
        <x:v>231</x:v>
      </x:c>
      <x:c r="B276" s="9">
        <x:v>10.9</x:v>
      </x:c>
      <x:c r="C276" s="1">
        <x:v>4</x:v>
      </x:c>
      <x:c r="D276" s="14" t="s">
        <x:v>276</x:v>
      </x:c>
      <x:c r="E276" s="1" t="s">
        <x:v>173</x:v>
      </x:c>
      <x:c r="F276" s="33">
        <x:f>'2026.9.9'!J224</x:f>
        <x:v>2</x:v>
      </x:c>
      <x:c r="G276" s="39">
        <x:f>SUM(H22:H23)*C276</x:f>
        <x:v>0</x:v>
      </x:c>
      <x:c r="H276" s="1"/>
      <x:c r="I276" s="1"/>
      <x:c r="J276" s="36">
        <x:f>F276+I276-G276-H276</x:f>
        <x:v>2</x:v>
      </x:c>
      <x:c r="K276" s="37">
        <x:f>J276/C276</x:f>
        <x:v>0.5</x:v>
      </x:c>
      <x:c r="L276" s="25" t="str">
        <x:f>IF(J276&lt;M276,119,"")</x:f>
        <x:v/>
      </x:c>
      <x:c r="M276" s="34">
        <x:f>SUM(P22:P23)*C276</x:f>
        <x:v>0</x:v>
      </x:c>
      <x:c r="N276" s="35">
        <x:f>J276-M276</x:f>
        <x:v>2</x:v>
      </x:c>
    </x:row>
    <x:row r="277" spans="1:14" customFormat="1">
      <x:c r="A277" s="11" t="s">
        <x:v>231</x:v>
      </x:c>
      <x:c r="B277" s="9" t="s">
        <x:v>143</x:v>
      </x:c>
      <x:c r="C277" s="1">
        <x:v>36</x:v>
      </x:c>
      <x:c r="D277" s="14" t="s">
        <x:v>11</x:v>
      </x:c>
      <x:c r="E277" s="1" t="s">
        <x:v>174</x:v>
      </x:c>
      <x:c r="F277" s="33">
        <x:f>'2026.9.9'!J225</x:f>
        <x:v>110</x:v>
      </x:c>
      <x:c r="G277" s="39">
        <x:f>SUM(H24:H25)*C277</x:f>
        <x:v>0</x:v>
      </x:c>
      <x:c r="H277" s="1"/>
      <x:c r="I277" s="1"/>
      <x:c r="J277" s="36">
        <x:f>F277+I277-G277-H277</x:f>
        <x:v>110</x:v>
      </x:c>
      <x:c r="K277" s="37">
        <x:f>J277/C277</x:f>
        <x:v>3.0555555555555554</x:v>
      </x:c>
      <x:c r="L277" s="25" t="str">
        <x:f>IF(J277&lt;M277,119,"")</x:f>
        <x:v/>
      </x:c>
      <x:c r="M277" s="34">
        <x:f>SUM(P24:P25)*C277</x:f>
        <x:v>0</x:v>
      </x:c>
      <x:c r="N277" s="35">
        <x:f>J277-M277</x:f>
        <x:v>110</x:v>
      </x:c>
    </x:row>
    <x:row r="278" spans="1:14">
      <x:c r="A278" s="11" t="s">
        <x:v>231</x:v>
      </x:c>
      <x:c r="B278" s="9" t="s">
        <x:v>143</x:v>
      </x:c>
      <x:c r="C278" s="1">
        <x:v>8</x:v>
      </x:c>
      <x:c r="D278" s="9" t="s">
        <x:v>70</x:v>
      </x:c>
      <x:c r="E278" s="1" t="s">
        <x:v>184</x:v>
      </x:c>
      <x:c r="F278" s="33">
        <x:f>'2026.9.9'!J226</x:f>
        <x:v>930</x:v>
      </x:c>
      <x:c r="G278" s="39">
        <x:f>H21*C278</x:f>
        <x:v>0</x:v>
      </x:c>
      <x:c r="J278" s="36">
        <x:f>F278+I278-G278-H278</x:f>
        <x:v>930</x:v>
      </x:c>
      <x:c r="K278" s="37">
        <x:f>J278/C278</x:f>
        <x:v>116.25</x:v>
      </x:c>
      <x:c r="L278" s="25" t="str">
        <x:f>IF(J278&lt;M278,119,"")</x:f>
        <x:v/>
      </x:c>
      <x:c r="M278" s="34">
        <x:f>P21*C278</x:f>
        <x:v>136</x:v>
      </x:c>
      <x:c r="N278" s="35">
        <x:f>J278-M278</x:f>
        <x:v>794</x:v>
      </x:c>
    </x:row>
    <x:row r="279" spans="1:14">
      <x:c r="A279" s="11" t="s">
        <x:v>14</x:v>
      </x:c>
      <x:c r="B279" s="9" t="s">
        <x:v>137</x:v>
      </x:c>
      <x:c r="C279" s="1">
        <x:v>14</x:v>
      </x:c>
      <x:c r="D279" s="9" t="s">
        <x:v>17</x:v>
      </x:c>
      <x:c r="E279" s="1" t="s">
        <x:v>166</x:v>
      </x:c>
      <x:c r="F279" s="33">
        <x:f>'2026.9.9'!J227</x:f>
        <x:v>100</x:v>
      </x:c>
      <x:c r="G279" s="39">
        <x:f>SUM(J6)*12+SUM(J7)*16+SUM(J8)*16+SUM(J9)*8</x:f>
        <x:v>16</x:v>
      </x:c>
      <x:c r="I279" s="1">
        <x:v>300</x:v>
      </x:c>
      <x:c r="J279" s="36">
        <x:f>F279+I279-G279-H279</x:f>
        <x:v>384</x:v>
      </x:c>
      <x:c r="K279" s="37">
        <x:f>J279/C279</x:f>
        <x:v>27.428571428571427</x:v>
      </x:c>
      <x:c r="L279" s="25">
        <x:f>IF(J279&lt;M279,119,"")</x:f>
        <x:v>119</x:v>
      </x:c>
      <x:c r="M279" s="34">
        <x:f>SUM(R6:R9)*C279</x:f>
        <x:v>462</x:v>
      </x:c>
      <x:c r="N279" s="35">
        <x:f>J279-M279</x:f>
        <x:v>-78</x:v>
      </x:c>
    </x:row>
    <x:row r="280" spans="1:14">
      <x:c r="A280" s="11" t="s">
        <x:v>14</x:v>
      </x:c>
      <x:c r="B280" s="9" t="s">
        <x:v>137</x:v>
      </x:c>
      <x:c r="C280" s="1">
        <x:v>4</x:v>
      </x:c>
      <x:c r="D280" s="9" t="s">
        <x:v>83</x:v>
      </x:c>
      <x:c r="E280" s="1" t="s">
        <x:v>170</x:v>
      </x:c>
      <x:c r="F280" s="33">
        <x:f>'2026.9.9'!J228</x:f>
        <x:v>92</x:v>
      </x:c>
      <x:c r="G280" s="39">
        <x:f>J6*C280</x:f>
        <x:v>0</x:v>
      </x:c>
      <x:c r="J280" s="36">
        <x:f>F280+I280-G280-H280</x:f>
        <x:v>92</x:v>
      </x:c>
      <x:c r="K280" s="37">
        <x:f>J280/C280</x:f>
        <x:v>23</x:v>
      </x:c>
      <x:c r="L280" s="25" t="str">
        <x:f>IF(J280&lt;M280,119,"")</x:f>
        <x:v/>
      </x:c>
      <x:c r="M280" s="34">
        <x:f>R6*C280</x:f>
        <x:v>52</x:v>
      </x:c>
      <x:c r="N280" s="35">
        <x:f>J280-M280</x:f>
        <x:v>40</x:v>
      </x:c>
    </x:row>
    <x:row r="281" spans="1:14">
      <x:c r="A281" s="11" t="s">
        <x:v>14</x:v>
      </x:c>
      <x:c r="B281" s="9" t="s">
        <x:v>137</x:v>
      </x:c>
      <x:c r="C281" s="1">
        <x:v>8</x:v>
      </x:c>
      <x:c r="D281" s="9" t="s">
        <x:v>73</x:v>
      </x:c>
      <x:c r="E281" s="1" t="s">
        <x:v>153</x:v>
      </x:c>
      <x:c r="F281" s="33">
        <x:f>'2026.9.9'!J229</x:f>
        <x:v>23</x:v>
      </x:c>
      <x:c r="G281" s="39">
        <x:f>J9*C281</x:f>
        <x:v>16</x:v>
      </x:c>
      <x:c r="I281" s="1">
        <x:v>200</x:v>
      </x:c>
      <x:c r="J281" s="36">
        <x:f>F281+I281-G281-H281</x:f>
        <x:v>207</x:v>
      </x:c>
      <x:c r="K281" s="37">
        <x:f>J281/C281</x:f>
        <x:v>25.875</x:v>
      </x:c>
      <x:c r="L281" s="25" t="str">
        <x:f>IF(J281&lt;M281,119,"")</x:f>
        <x:v/>
      </x:c>
      <x:c r="M281" s="34">
        <x:f>R9*C281</x:f>
        <x:v>80</x:v>
      </x:c>
      <x:c r="N281" s="35">
        <x:f>J281-M281</x:f>
        <x:v>127</x:v>
      </x:c>
    </x:row>
    <x:row r="282" spans="1:14">
      <x:c r="A282" s="11" t="s">
        <x:v>14</x:v>
      </x:c>
      <x:c r="B282" s="9" t="s">
        <x:v>181</x:v>
      </x:c>
      <x:c r="C282" s="1">
        <x:v>8</x:v>
      </x:c>
      <x:c r="D282" s="14" t="s">
        <x:v>276</x:v>
      </x:c>
      <x:c r="E282" s="1" t="s">
        <x:v>170</x:v>
      </x:c>
      <x:c r="F282" s="33">
        <x:f>'2026.9.9'!J230</x:f>
        <x:v>4</x:v>
      </x:c>
      <x:c r="G282" s="39">
        <x:f>SUM(H22:H23)*C282</x:f>
        <x:v>0</x:v>
      </x:c>
      <x:c r="J282" s="36">
        <x:f>F282+I282-G282-H282</x:f>
        <x:v>4</x:v>
      </x:c>
      <x:c r="K282" s="37">
        <x:f>J282/C282</x:f>
        <x:v>0.5</x:v>
      </x:c>
      <x:c r="L282" s="25" t="str">
        <x:f>IF(J282&lt;M282,119,"")</x:f>
        <x:v/>
      </x:c>
      <x:c r="M282" s="34">
        <x:f>SUM(P22:P23)*C282</x:f>
        <x:v>0</x:v>
      </x:c>
      <x:c r="N282" s="35">
        <x:f>J282-M282</x:f>
        <x:v>4</x:v>
      </x:c>
    </x:row>
  </x:sheetData>
  <x:autoFilter ref="A28:L282"/>
  <x:mergeCells count="4">
    <x:mergeCell ref="A11:E17"/>
    <x:mergeCell ref="A18:E18"/>
    <x:mergeCell ref="O2:R2"/>
    <x:mergeCell ref="G2:N2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 filterMode="1"/>
  <x:dimension ref="A2:R324"/>
  <x:sheetViews>
    <x:sheetView tabSelected="1" topLeftCell="A1" zoomScaleNormal="100" workbookViewId="0">
      <x:selection activeCell="J323" activeCellId="0" sqref="J323:J323"/>
    </x:sheetView>
  </x:sheetViews>
  <x:sheetFormatPr defaultColWidth="9.00390625" defaultRowHeight="17.800000000000001"/>
  <x:cols>
    <x:col min="1" max="1" width="19" style="10" customWidth="1"/>
    <x:col min="2" max="2" width="14.125" style="1" customWidth="1"/>
    <x:col min="3" max="3" width="8.25" style="1" customWidth="1"/>
    <x:col min="4" max="4" width="26.1953125" style="2" bestFit="1" customWidth="1"/>
    <x:col min="5" max="5" width="18.5" style="1" customWidth="1"/>
    <x:col min="6" max="6" width="10.125" style="1" customWidth="1"/>
    <x:col min="7" max="7" width="18.25" style="1" customWidth="1"/>
    <x:col min="8" max="8" width="15.87890625" style="1" bestFit="1" customWidth="1"/>
    <x:col min="9" max="9" width="13.25" style="1" customWidth="1"/>
    <x:col min="10" max="10" width="12.52734375" style="29" bestFit="1" customWidth="1"/>
    <x:col min="11" max="11" width="14.375" style="18" customWidth="1"/>
    <x:col min="12" max="12" width="14.109375" style="1" bestFit="1" customWidth="1"/>
    <x:col min="13" max="13" width="10.625" style="1" customWidth="1"/>
    <x:col min="14" max="14" width="10.25" style="6" customWidth="1"/>
    <x:col min="15" max="15" width="14.625" customWidth="1"/>
    <x:col min="16" max="16" width="9" customWidth="1"/>
    <x:col min="17" max="17" width="9.8671875" bestFit="1" customWidth="1"/>
    <x:col min="18" max="18" width="12" customWidth="1"/>
  </x:cols>
  <x:sheetData>
    <x:row r="2" spans="1:18" s="27" customFormat="1" ht="31.5" customHeight="1">
      <x:c r="A2" s="28"/>
      <x:c r="B2" s="28"/>
      <x:c r="C2" s="28"/>
      <x:c r="D2" s="28"/>
      <x:c r="E2"/>
      <x:c r="F2" s="40"/>
      <x:c r="G2" s="71" t="s">
        <x:v>1</x:v>
      </x:c>
      <x:c r="H2" s="69"/>
      <x:c r="I2" s="69"/>
      <x:c r="J2" s="69"/>
      <x:c r="K2" s="69"/>
      <x:c r="L2" s="69"/>
      <x:c r="M2" s="69"/>
      <x:c r="N2" s="72"/>
      <x:c r="O2" s="68" t="s">
        <x:v>0</x:v>
      </x:c>
      <x:c r="P2" s="69"/>
      <x:c r="Q2" s="69"/>
      <x:c r="R2" s="70"/>
    </x:row>
    <x:row r="3" spans="1:18" customFormat="1" ht="17.25" customHeight="1">
      <x:c r="A3" s="10"/>
      <x:c r="B3" s="1"/>
      <x:c r="C3" s="1"/>
      <x:c r="D3" s="2"/>
      <x:c r="E3" s="1"/>
      <x:c r="F3" s="1"/>
      <x:c r="G3" s="51" t="s">
        <x:v>130</x:v>
      </x:c>
      <x:c r="H3" s="41" t="s">
        <x:v>142</x:v>
      </x:c>
      <x:c r="I3" s="41" t="s">
        <x:v>157</x:v>
      </x:c>
      <x:c r="J3" s="42" t="s">
        <x:v>142</x:v>
      </x:c>
      <x:c r="K3" s="41" t="s">
        <x:v>130</x:v>
      </x:c>
      <x:c r="L3" s="43" t="s">
        <x:v>283</x:v>
      </x:c>
      <x:c r="M3" s="41" t="s">
        <x:v>157</x:v>
      </x:c>
      <x:c r="N3" s="43" t="s">
        <x:v>283</x:v>
      </x:c>
      <x:c r="O3" s="41" t="s">
        <x:v>130</x:v>
      </x:c>
      <x:c r="P3" s="41" t="s">
        <x:v>220</x:v>
      </x:c>
      <x:c r="Q3" s="41" t="s">
        <x:v>157</x:v>
      </x:c>
      <x:c r="R3" s="52" t="s">
        <x:v>220</x:v>
      </x:c>
    </x:row>
    <x:row r="4" spans="1:18" customFormat="1" ht="17.25" customHeight="1">
      <x:c r="A4" s="10"/>
      <x:c r="B4" s="1"/>
      <x:c r="C4" s="1"/>
      <x:c r="D4" s="2"/>
      <x:c r="E4" s="1"/>
      <x:c r="F4" s="1"/>
      <x:c r="G4" s="53" t="s">
        <x:v>23</x:v>
      </x:c>
      <x:c r="H4" s="44"/>
      <x:c r="I4" s="44"/>
      <x:c r="J4" s="64"/>
      <x:c r="K4" s="16" t="s">
        <x:v>23</x:v>
      </x:c>
      <x:c r="L4" s="45">
        <x:f>H4+'2026.9.10'!L5</x:f>
        <x:v>0</x:v>
      </x:c>
      <x:c r="M4" s="44"/>
      <x:c r="N4" s="45"/>
      <x:c r="O4" s="16" t="s">
        <x:v>23</x:v>
      </x:c>
      <x:c r="P4" s="46"/>
      <x:c r="Q4" s="44"/>
      <x:c r="R4" s="54"/>
    </x:row>
    <x:row r="5" spans="1:18" customFormat="1" ht="17.25" customHeight="1">
      <x:c r="A5" s="10"/>
      <x:c r="B5" s="1"/>
      <x:c r="C5" s="1"/>
      <x:c r="D5" s="2"/>
      <x:c r="E5" s="1"/>
      <x:c r="F5" s="1"/>
      <x:c r="G5" s="53" t="s">
        <x:v>94</x:v>
      </x:c>
      <x:c r="H5" s="44"/>
      <x:c r="I5" s="44"/>
      <x:c r="J5" s="44"/>
      <x:c r="K5" s="16" t="s">
        <x:v>94</x:v>
      </x:c>
      <x:c r="L5" s="45">
        <x:f>H5+'2026.9.10'!L6</x:f>
        <x:v>0</x:v>
      </x:c>
      <x:c r="M5" s="44"/>
      <x:c r="N5" s="45"/>
      <x:c r="O5" s="16" t="s">
        <x:v>94</x:v>
      </x:c>
      <x:c r="P5" s="46">
        <x:v>6</x:v>
      </x:c>
      <x:c r="Q5" s="44"/>
      <x:c r="R5" s="54"/>
    </x:row>
    <x:row r="6" spans="1:18" customFormat="1" ht="17.25" customHeight="1">
      <x:c r="A6" s="10"/>
      <x:c r="B6" s="1"/>
      <x:c r="C6" s="1"/>
      <x:c r="D6" s="2"/>
      <x:c r="E6" s="1"/>
      <x:c r="F6" s="1"/>
      <x:c r="G6" s="53" t="s">
        <x:v>27</x:v>
      </x:c>
      <x:c r="H6" s="44"/>
      <x:c r="I6" s="44" t="s">
        <x:v>83</x:v>
      </x:c>
      <x:c r="J6" s="44"/>
      <x:c r="K6" s="16" t="s">
        <x:v>27</x:v>
      </x:c>
      <x:c r="L6" s="45">
        <x:f>H6+'2026.9.10'!L7</x:f>
        <x:v>0</x:v>
      </x:c>
      <x:c r="M6" s="44" t="s">
        <x:v>83</x:v>
      </x:c>
      <x:c r="N6" s="45">
        <x:f>'2026.9.10'!N7+J6</x:f>
        <x:v>0</x:v>
      </x:c>
      <x:c r="O6" s="16" t="s">
        <x:v>27</x:v>
      </x:c>
      <x:c r="P6" s="46"/>
      <x:c r="Q6" s="44" t="s">
        <x:v>83</x:v>
      </x:c>
      <x:c r="R6" s="54">
        <x:v>13</x:v>
      </x:c>
    </x:row>
    <x:row r="7" spans="1:18" customFormat="1" ht="17.25" customHeight="1">
      <x:c r="A7" s="10"/>
      <x:c r="B7" s="1"/>
      <x:c r="C7" s="1"/>
      <x:c r="D7" s="2"/>
      <x:c r="E7" s="1"/>
      <x:c r="F7" s="1"/>
      <x:c r="G7" s="53" t="s">
        <x:v>36</x:v>
      </x:c>
      <x:c r="H7" s="44"/>
      <x:c r="I7" s="44" t="s">
        <x:v>41</x:v>
      </x:c>
      <x:c r="J7" s="44"/>
      <x:c r="K7" s="16" t="s">
        <x:v>36</x:v>
      </x:c>
      <x:c r="L7" s="45">
        <x:f>H7+'2026.9.10'!L8</x:f>
        <x:v>0</x:v>
      </x:c>
      <x:c r="M7" s="44" t="s">
        <x:v>41</x:v>
      </x:c>
      <x:c r="N7" s="45">
        <x:f>'2026.9.10'!N8+J7</x:f>
        <x:v>0</x:v>
      </x:c>
      <x:c r="O7" s="16" t="s">
        <x:v>36</x:v>
      </x:c>
      <x:c r="P7" s="46"/>
      <x:c r="Q7" s="44" t="s">
        <x:v>41</x:v>
      </x:c>
      <x:c r="R7" s="54"/>
    </x:row>
    <x:row r="8" spans="1:18" customFormat="1" ht="17.25" customHeight="1">
      <x:c r="A8" s="10"/>
      <x:c r="B8" s="1"/>
      <x:c r="C8" s="1"/>
      <x:c r="D8" s="2"/>
      <x:c r="E8" s="1"/>
      <x:c r="F8" s="1"/>
      <x:c r="G8" s="53" t="s">
        <x:v>55</x:v>
      </x:c>
      <x:c r="H8" s="44"/>
      <x:c r="I8" s="44" t="s">
        <x:v>47</x:v>
      </x:c>
      <x:c r="J8" s="44"/>
      <x:c r="K8" s="16" t="s">
        <x:v>55</x:v>
      </x:c>
      <x:c r="L8" s="45">
        <x:f>H8+'2026.9.10'!L9</x:f>
        <x:v>0</x:v>
      </x:c>
      <x:c r="M8" s="44" t="s">
        <x:v>47</x:v>
      </x:c>
      <x:c r="N8" s="45">
        <x:f>'2026.9.10'!N9+J8</x:f>
        <x:v>8</x:v>
      </x:c>
      <x:c r="O8" s="16" t="s">
        <x:v>55</x:v>
      </x:c>
      <x:c r="P8" s="46">
        <x:v>12</x:v>
      </x:c>
      <x:c r="Q8" s="44" t="s">
        <x:v>47</x:v>
      </x:c>
      <x:c r="R8" s="54">
        <x:v>10</x:v>
      </x:c>
    </x:row>
    <x:row r="9" spans="1:18" customFormat="1" ht="17.25" customHeight="1">
      <x:c r="A9" s="10"/>
      <x:c r="B9" s="1"/>
      <x:c r="C9" s="1"/>
      <x:c r="D9" s="2"/>
      <x:c r="E9" s="1"/>
      <x:c r="F9" s="1"/>
      <x:c r="G9" s="53" t="s">
        <x:v>44</x:v>
      </x:c>
      <x:c r="H9" s="44"/>
      <x:c r="I9" s="44" t="s">
        <x:v>73</x:v>
      </x:c>
      <x:c r="J9" s="44"/>
      <x:c r="K9" s="16" t="s">
        <x:v>44</x:v>
      </x:c>
      <x:c r="L9" s="45">
        <x:f>H9+'2026.9.10'!L10</x:f>
        <x:v>0</x:v>
      </x:c>
      <x:c r="M9" s="44" t="s">
        <x:v>73</x:v>
      </x:c>
      <x:c r="N9" s="45">
        <x:f>'2026.9.10'!N10+J9</x:f>
        <x:v>4</x:v>
      </x:c>
      <x:c r="O9" s="16" t="s">
        <x:v>44</x:v>
      </x:c>
      <x:c r="P9" s="46">
        <x:v>6</x:v>
      </x:c>
      <x:c r="Q9" s="44" t="s">
        <x:v>73</x:v>
      </x:c>
      <x:c r="R9" s="54">
        <x:v>10</x:v>
      </x:c>
    </x:row>
    <x:row r="10" spans="1:18" customFormat="1" ht="17.25" customHeight="1">
      <x:c r="A10" s="10"/>
      <x:c r="B10" s="1"/>
      <x:c r="C10" s="1"/>
      <x:c r="D10" s="2"/>
      <x:c r="E10" s="1"/>
      <x:c r="F10" s="1"/>
      <x:c r="G10" s="53" t="s">
        <x:v>255</x:v>
      </x:c>
      <x:c r="H10" s="44"/>
      <x:c r="I10" s="44"/>
      <x:c r="J10" s="44"/>
      <x:c r="K10" s="16" t="s">
        <x:v>255</x:v>
      </x:c>
      <x:c r="L10" s="45">
        <x:f>H10+'2026.9.10'!L11</x:f>
        <x:v>0</x:v>
      </x:c>
      <x:c r="M10" s="44"/>
      <x:c r="N10" s="45"/>
      <x:c r="O10" s="16" t="s">
        <x:v>255</x:v>
      </x:c>
      <x:c r="P10" s="46">
        <x:v>8</x:v>
      </x:c>
      <x:c r="Q10" s="44"/>
      <x:c r="R10" s="54"/>
    </x:row>
    <x:row r="11" spans="1:18" customFormat="1" ht="17.25" customHeight="1">
      <x:c r="A11" s="66" t="s">
        <x:v>12</x:v>
      </x:c>
      <x:c r="B11" s="66"/>
      <x:c r="C11" s="66"/>
      <x:c r="D11" s="66"/>
      <x:c r="E11" s="66"/>
      <x:c r="F11" s="1"/>
      <x:c r="G11" s="53" t="s">
        <x:v>76</x:v>
      </x:c>
      <x:c r="H11" s="44"/>
      <x:c r="I11" s="44"/>
      <x:c r="J11" s="44"/>
      <x:c r="K11" s="16" t="s">
        <x:v>76</x:v>
      </x:c>
      <x:c r="L11" s="45">
        <x:f>H11+'2026.9.10'!L12</x:f>
        <x:v>0</x:v>
      </x:c>
      <x:c r="M11" s="44"/>
      <x:c r="N11" s="45"/>
      <x:c r="O11" s="16" t="s">
        <x:v>76</x:v>
      </x:c>
      <x:c r="P11" s="46"/>
      <x:c r="Q11" s="44"/>
      <x:c r="R11" s="54"/>
    </x:row>
    <x:row r="12" spans="1:18" customFormat="1" ht="17.25" customHeight="1">
      <x:c r="A12" s="66"/>
      <x:c r="B12" s="66"/>
      <x:c r="C12" s="66"/>
      <x:c r="D12" s="66"/>
      <x:c r="E12" s="66"/>
      <x:c r="F12" s="1"/>
      <x:c r="G12" s="53" t="s">
        <x:v>33</x:v>
      </x:c>
      <x:c r="H12" s="44"/>
      <x:c r="I12" s="44"/>
      <x:c r="J12" s="44"/>
      <x:c r="K12" s="16" t="s">
        <x:v>33</x:v>
      </x:c>
      <x:c r="L12" s="45">
        <x:f>H12+'2026.9.10'!L13</x:f>
        <x:v>0</x:v>
      </x:c>
      <x:c r="M12" s="44"/>
      <x:c r="N12" s="45"/>
      <x:c r="O12" s="16" t="s">
        <x:v>33</x:v>
      </x:c>
      <x:c r="P12" s="46"/>
      <x:c r="Q12" s="44"/>
      <x:c r="R12" s="54"/>
    </x:row>
    <x:row r="13" spans="1:18" customFormat="1" ht="17.25" customHeight="1">
      <x:c r="A13" s="66"/>
      <x:c r="B13" s="66"/>
      <x:c r="C13" s="66"/>
      <x:c r="D13" s="66"/>
      <x:c r="E13" s="66"/>
      <x:c r="F13" s="1"/>
      <x:c r="G13" s="53" t="s">
        <x:v>261</x:v>
      </x:c>
      <x:c r="H13" s="44"/>
      <x:c r="I13" s="44"/>
      <x:c r="J13" s="44"/>
      <x:c r="K13" s="16" t="s">
        <x:v>261</x:v>
      </x:c>
      <x:c r="L13" s="45">
        <x:f>H13+'2026.9.10'!L14</x:f>
        <x:v>0</x:v>
      </x:c>
      <x:c r="M13" s="44"/>
      <x:c r="N13" s="45"/>
      <x:c r="O13" s="16" t="s">
        <x:v>261</x:v>
      </x:c>
      <x:c r="P13" s="46"/>
      <x:c r="Q13" s="44"/>
      <x:c r="R13" s="54"/>
    </x:row>
    <x:row r="14" spans="1:18" customFormat="1" ht="17.25" customHeight="1">
      <x:c r="A14" s="66"/>
      <x:c r="B14" s="66"/>
      <x:c r="C14" s="66"/>
      <x:c r="D14" s="66"/>
      <x:c r="E14" s="66"/>
      <x:c r="F14" s="1"/>
      <x:c r="G14" s="53" t="s">
        <x:v>266</x:v>
      </x:c>
      <x:c r="H14" s="44"/>
      <x:c r="I14" s="44"/>
      <x:c r="J14" s="44"/>
      <x:c r="K14" s="16" t="s">
        <x:v>266</x:v>
      </x:c>
      <x:c r="L14" s="45">
        <x:f>H14+'2026.9.10'!L15</x:f>
        <x:v>0</x:v>
      </x:c>
      <x:c r="M14" s="44"/>
      <x:c r="N14" s="45"/>
      <x:c r="O14" s="16" t="s">
        <x:v>266</x:v>
      </x:c>
      <x:c r="P14" s="46">
        <x:v>28</x:v>
      </x:c>
      <x:c r="Q14" s="44"/>
      <x:c r="R14" s="54"/>
    </x:row>
    <x:row r="15" spans="1:18" customFormat="1" ht="17.25" customHeight="1">
      <x:c r="A15" s="66"/>
      <x:c r="B15" s="66"/>
      <x:c r="C15" s="66"/>
      <x:c r="D15" s="66"/>
      <x:c r="E15" s="66"/>
      <x:c r="F15" s="1"/>
      <x:c r="G15" s="53" t="s">
        <x:v>259</x:v>
      </x:c>
      <x:c r="H15" s="44"/>
      <x:c r="I15" s="44"/>
      <x:c r="J15" s="44"/>
      <x:c r="K15" s="16" t="s">
        <x:v>259</x:v>
      </x:c>
      <x:c r="L15" s="45"/>
      <x:c r="M15" s="44"/>
      <x:c r="N15" s="45"/>
      <x:c r="O15" s="16" t="s">
        <x:v>259</x:v>
      </x:c>
      <x:c r="P15" s="46"/>
      <x:c r="Q15" s="44"/>
      <x:c r="R15" s="54"/>
    </x:row>
    <x:row r="16" spans="1:18" ht="17.25" customHeight="1">
      <x:c r="A16" s="66"/>
      <x:c r="B16" s="66"/>
      <x:c r="C16" s="66"/>
      <x:c r="D16" s="66"/>
      <x:c r="E16" s="66"/>
      <x:c r="G16" s="53" t="s">
        <x:v>251</x:v>
      </x:c>
      <x:c r="H16" s="44"/>
      <x:c r="I16" s="44"/>
      <x:c r="J16" s="44"/>
      <x:c r="K16" s="16" t="s">
        <x:v>251</x:v>
      </x:c>
      <x:c r="L16" s="45">
        <x:f>H16+'2026.9.10'!L16</x:f>
        <x:v>0</x:v>
      </x:c>
      <x:c r="M16" s="44"/>
      <x:c r="N16" s="45"/>
      <x:c r="O16" s="16" t="s">
        <x:v>251</x:v>
      </x:c>
      <x:c r="P16" s="46"/>
      <x:c r="Q16" s="44"/>
      <x:c r="R16" s="54"/>
    </x:row>
    <x:row r="17" spans="1:18" customFormat="1" ht="17.25" customHeight="1">
      <x:c r="A17" s="66"/>
      <x:c r="B17" s="66"/>
      <x:c r="C17" s="66"/>
      <x:c r="D17" s="66"/>
      <x:c r="E17" s="66"/>
      <x:c r="F17" s="1"/>
      <x:c r="G17" s="53" t="s">
        <x:v>270</x:v>
      </x:c>
      <x:c r="H17" s="44"/>
      <x:c r="I17" s="44"/>
      <x:c r="J17" s="44"/>
      <x:c r="K17" s="16" t="s">
        <x:v>270</x:v>
      </x:c>
      <x:c r="L17" s="45"/>
      <x:c r="M17" s="44"/>
      <x:c r="N17" s="45"/>
      <x:c r="O17" s="16" t="s">
        <x:v>270</x:v>
      </x:c>
      <x:c r="P17" s="46"/>
      <x:c r="Q17" s="44"/>
      <x:c r="R17" s="54"/>
    </x:row>
    <x:row r="18" spans="1:18" customFormat="1" ht="17.25" customHeight="1">
      <x:c r="A18" s="66"/>
      <x:c r="B18" s="66"/>
      <x:c r="C18" s="66"/>
      <x:c r="D18" s="66"/>
      <x:c r="E18" s="66"/>
      <x:c r="F18" s="1"/>
      <x:c r="G18" s="53" t="s">
        <x:v>265</x:v>
      </x:c>
      <x:c r="H18" s="44"/>
      <x:c r="I18" s="44"/>
      <x:c r="J18" s="44"/>
      <x:c r="K18" s="16" t="s">
        <x:v>265</x:v>
      </x:c>
      <x:c r="L18" s="45">
        <x:f>H18+'2026.9.10'!L17</x:f>
        <x:v>0</x:v>
      </x:c>
      <x:c r="M18" s="44"/>
      <x:c r="N18" s="45"/>
      <x:c r="O18" s="16" t="s">
        <x:v>265</x:v>
      </x:c>
      <x:c r="P18" s="46">
        <x:v>4</x:v>
      </x:c>
      <x:c r="Q18" s="44"/>
      <x:c r="R18" s="54"/>
    </x:row>
    <x:row r="19" spans="1:18" ht="17.25" customHeight="1">
      <x:c r="A19" s="66"/>
      <x:c r="B19" s="66"/>
      <x:c r="C19" s="66"/>
      <x:c r="D19" s="66"/>
      <x:c r="E19" s="66"/>
      <x:c r="G19" s="53" t="s">
        <x:v>252</x:v>
      </x:c>
      <x:c r="H19" s="44"/>
      <x:c r="I19" s="44"/>
      <x:c r="J19" s="44"/>
      <x:c r="K19" s="16" t="s">
        <x:v>252</x:v>
      </x:c>
      <x:c r="L19" s="45">
        <x:f>H19+'2026.9.10'!L18</x:f>
        <x:v>0</x:v>
      </x:c>
      <x:c r="M19" s="44"/>
      <x:c r="N19" s="45"/>
      <x:c r="O19" s="16" t="s">
        <x:v>252</x:v>
      </x:c>
      <x:c r="P19" s="46">
        <x:v>7</x:v>
      </x:c>
      <x:c r="Q19" s="44"/>
      <x:c r="R19" s="54"/>
    </x:row>
    <x:row r="20" spans="1:18" customFormat="1" ht="17.25" customHeight="1">
      <x:c r="A20" s="67"/>
      <x:c r="B20" s="67"/>
      <x:c r="C20" s="67"/>
      <x:c r="D20" s="67"/>
      <x:c r="E20" s="67"/>
      <x:c r="F20" s="1"/>
      <x:c r="G20" s="53" t="s">
        <x:v>272</x:v>
      </x:c>
      <x:c r="H20" s="44"/>
      <x:c r="I20" s="44"/>
      <x:c r="J20" s="44"/>
      <x:c r="K20" s="16" t="s">
        <x:v>272</x:v>
      </x:c>
      <x:c r="L20" s="45"/>
      <x:c r="M20" s="44"/>
      <x:c r="N20" s="45"/>
      <x:c r="O20" s="16" t="s">
        <x:v>272</x:v>
      </x:c>
      <x:c r="P20" s="46"/>
      <x:c r="Q20" s="44"/>
      <x:c r="R20" s="54"/>
    </x:row>
    <x:row r="21" spans="1:18" customFormat="1" ht="17.25" customHeight="1">
      <x:c r="A21" s="67"/>
      <x:c r="B21" s="67"/>
      <x:c r="C21" s="67"/>
      <x:c r="D21" s="67"/>
      <x:c r="E21" s="67"/>
      <x:c r="F21" s="1"/>
      <x:c r="G21" s="53" t="s">
        <x:v>16</x:v>
      </x:c>
      <x:c r="H21" s="44"/>
      <x:c r="I21" s="44"/>
      <x:c r="J21" s="44"/>
      <x:c r="K21" s="16" t="s">
        <x:v>16</x:v>
      </x:c>
      <x:c r="L21" s="45"/>
      <x:c r="M21" s="44"/>
      <x:c r="N21" s="45"/>
      <x:c r="O21" s="16" t="s">
        <x:v>16</x:v>
      </x:c>
      <x:c r="P21" s="46"/>
      <x:c r="Q21" s="44"/>
      <x:c r="R21" s="54"/>
    </x:row>
    <x:row r="22" spans="1:18" customFormat="1" ht="17.25" customHeight="1">
      <x:c r="A22" s="67"/>
      <x:c r="B22" s="67"/>
      <x:c r="C22" s="67"/>
      <x:c r="D22" s="67"/>
      <x:c r="E22" s="67"/>
      <x:c r="F22" s="1"/>
      <x:c r="G22" s="53" t="s">
        <x:v>18</x:v>
      </x:c>
      <x:c r="H22" s="44"/>
      <x:c r="I22" s="44"/>
      <x:c r="J22" s="44"/>
      <x:c r="K22" s="16" t="s">
        <x:v>18</x:v>
      </x:c>
      <x:c r="L22" s="45"/>
      <x:c r="M22" s="44"/>
      <x:c r="N22" s="45"/>
      <x:c r="O22" s="16" t="s">
        <x:v>18</x:v>
      </x:c>
      <x:c r="P22" s="46"/>
      <x:c r="Q22" s="44"/>
      <x:c r="R22" s="54"/>
    </x:row>
    <x:row r="23" spans="1:18" customFormat="1" ht="17.25" customHeight="1">
      <x:c r="A23" s="67"/>
      <x:c r="B23" s="67"/>
      <x:c r="C23" s="67"/>
      <x:c r="D23" s="67"/>
      <x:c r="E23" s="67"/>
      <x:c r="F23" s="1"/>
      <x:c r="G23" s="53" t="s">
        <x:v>101</x:v>
      </x:c>
      <x:c r="H23" s="44"/>
      <x:c r="I23" s="44"/>
      <x:c r="J23" s="44"/>
      <x:c r="K23" s="16" t="s">
        <x:v>101</x:v>
      </x:c>
      <x:c r="L23" s="45">
        <x:f>H23+'2026.9.10'!L19</x:f>
        <x:v>0</x:v>
      </x:c>
      <x:c r="M23" s="44"/>
      <x:c r="N23" s="45"/>
      <x:c r="O23" s="16" t="s">
        <x:v>101</x:v>
      </x:c>
      <x:c r="P23" s="46">
        <x:v>4</x:v>
      </x:c>
      <x:c r="Q23" s="44"/>
      <x:c r="R23" s="54"/>
    </x:row>
    <x:row r="24" spans="7:18" ht="17.25" customHeight="1">
      <x:c r="G24" s="53" t="s">
        <x:v>267</x:v>
      </x:c>
      <x:c r="H24" s="44"/>
      <x:c r="I24" s="44"/>
      <x:c r="J24" s="44"/>
      <x:c r="K24" s="16" t="s">
        <x:v>267</x:v>
      </x:c>
      <x:c r="L24" s="45">
        <x:f>H24+'2026.9.10'!L20</x:f>
        <x:v>0</x:v>
      </x:c>
      <x:c r="M24" s="44"/>
      <x:c r="N24" s="45"/>
      <x:c r="O24" s="16" t="s">
        <x:v>267</x:v>
      </x:c>
      <x:c r="P24" s="46">
        <x:v>5</x:v>
      </x:c>
      <x:c r="Q24" s="44"/>
      <x:c r="R24" s="54"/>
    </x:row>
    <x:row r="25" spans="1:18" customFormat="1" ht="17.25" customHeight="1">
      <x:c r="A25" s="10"/>
      <x:c r="B25" s="1"/>
      <x:c r="C25" s="1"/>
      <x:c r="D25" s="2"/>
      <x:c r="E25" s="1"/>
      <x:c r="F25" s="1"/>
      <x:c r="G25" s="53" t="s">
        <x:v>257</x:v>
      </x:c>
      <x:c r="H25" s="44"/>
      <x:c r="I25" s="44"/>
      <x:c r="J25" s="44"/>
      <x:c r="K25" s="16" t="s">
        <x:v>257</x:v>
      </x:c>
      <x:c r="L25" s="45"/>
      <x:c r="M25" s="44"/>
      <x:c r="N25" s="45"/>
      <x:c r="O25" s="16" t="s">
        <x:v>257</x:v>
      </x:c>
      <x:c r="P25" s="46"/>
      <x:c r="Q25" s="44"/>
      <x:c r="R25" s="54"/>
    </x:row>
    <x:row r="26" spans="1:18" customFormat="1" ht="17.25" customHeight="1">
      <x:c r="A26" s="10"/>
      <x:c r="B26" s="1"/>
      <x:c r="C26" s="1"/>
      <x:c r="D26" s="2"/>
      <x:c r="E26" s="1"/>
      <x:c r="F26" s="1"/>
      <x:c r="G26" s="53" t="s">
        <x:v>7</x:v>
      </x:c>
      <x:c r="H26" s="44"/>
      <x:c r="I26" s="44"/>
      <x:c r="J26" s="44"/>
      <x:c r="K26" s="16" t="s">
        <x:v>7</x:v>
      </x:c>
      <x:c r="L26" s="45"/>
      <x:c r="M26" s="44"/>
      <x:c r="N26" s="45"/>
      <x:c r="O26" s="16" t="s">
        <x:v>7</x:v>
      </x:c>
      <x:c r="P26" s="46"/>
      <x:c r="Q26" s="44"/>
      <x:c r="R26" s="54"/>
    </x:row>
    <x:row r="27" spans="1:18" customFormat="1" ht="17.25" customHeight="1">
      <x:c r="A27" s="10"/>
      <x:c r="B27" s="1"/>
      <x:c r="C27" s="1"/>
      <x:c r="D27" s="2"/>
      <x:c r="E27" s="1"/>
      <x:c r="F27" s="1"/>
      <x:c r="G27" s="53" t="s">
        <x:v>15</x:v>
      </x:c>
      <x:c r="H27" s="44"/>
      <x:c r="I27" s="44"/>
      <x:c r="J27" s="44"/>
      <x:c r="K27" s="16" t="s">
        <x:v>15</x:v>
      </x:c>
      <x:c r="L27" s="45"/>
      <x:c r="M27" s="44"/>
      <x:c r="N27" s="45"/>
      <x:c r="O27" s="16" t="s">
        <x:v>15</x:v>
      </x:c>
      <x:c r="P27" s="46"/>
      <x:c r="Q27" s="44"/>
      <x:c r="R27" s="54"/>
    </x:row>
    <x:row r="28" spans="7:18" ht="17.25" customHeight="1">
      <x:c r="G28" s="53" t="s">
        <x:v>264</x:v>
      </x:c>
      <x:c r="H28" s="44"/>
      <x:c r="I28" s="44"/>
      <x:c r="J28" s="44"/>
      <x:c r="K28" s="16" t="s">
        <x:v>264</x:v>
      </x:c>
      <x:c r="L28" s="45">
        <x:f>H28+'2026.9.10'!L21</x:f>
        <x:v>0</x:v>
      </x:c>
      <x:c r="M28" s="44"/>
      <x:c r="N28" s="45"/>
      <x:c r="O28" s="16" t="s">
        <x:v>264</x:v>
      </x:c>
      <x:c r="P28" s="46">
        <x:v>3</x:v>
      </x:c>
      <x:c r="Q28" s="44"/>
      <x:c r="R28" s="54"/>
    </x:row>
    <x:row r="29" spans="1:18" customFormat="1" ht="17.25" customHeight="1">
      <x:c r="A29" s="10"/>
      <x:c r="B29" s="1"/>
      <x:c r="C29" s="1"/>
      <x:c r="D29" s="2"/>
      <x:c r="E29" s="1"/>
      <x:c r="F29" s="1"/>
      <x:c r="G29" s="53" t="s">
        <x:v>269</x:v>
      </x:c>
      <x:c r="H29" s="44"/>
      <x:c r="I29" s="44"/>
      <x:c r="J29" s="44"/>
      <x:c r="K29" s="16" t="s">
        <x:v>269</x:v>
      </x:c>
      <x:c r="L29" s="45"/>
      <x:c r="M29" s="44"/>
      <x:c r="N29" s="45"/>
      <x:c r="O29" s="16" t="s">
        <x:v>269</x:v>
      </x:c>
      <x:c r="P29" s="46"/>
      <x:c r="Q29" s="44"/>
      <x:c r="R29" s="54"/>
    </x:row>
    <x:row r="30" spans="1:18" customFormat="1" ht="17.25" customHeight="1">
      <x:c r="A30" s="10"/>
      <x:c r="B30" s="1"/>
      <x:c r="C30" s="1"/>
      <x:c r="D30" s="2"/>
      <x:c r="E30" s="1"/>
      <x:c r="F30" s="1"/>
      <x:c r="G30" s="53" t="s">
        <x:v>3</x:v>
      </x:c>
      <x:c r="H30" s="44"/>
      <x:c r="I30" s="44"/>
      <x:c r="J30" s="44"/>
      <x:c r="K30" s="16" t="s">
        <x:v>3</x:v>
      </x:c>
      <x:c r="L30" s="45"/>
      <x:c r="M30" s="44"/>
      <x:c r="N30" s="45"/>
      <x:c r="O30" s="16" t="s">
        <x:v>3</x:v>
      </x:c>
      <x:c r="P30" s="46"/>
      <x:c r="Q30" s="44"/>
      <x:c r="R30" s="54"/>
    </x:row>
    <x:row r="31" spans="1:18" customFormat="1" ht="17.25" customHeight="1">
      <x:c r="A31" s="10"/>
      <x:c r="B31" s="1"/>
      <x:c r="C31" s="1"/>
      <x:c r="D31" s="2"/>
      <x:c r="E31" s="1"/>
      <x:c r="F31" s="1"/>
      <x:c r="G31" s="53" t="s">
        <x:v>5</x:v>
      </x:c>
      <x:c r="H31" s="44"/>
      <x:c r="I31" s="44"/>
      <x:c r="J31" s="44"/>
      <x:c r="K31" s="16" t="s">
        <x:v>5</x:v>
      </x:c>
      <x:c r="L31" s="45"/>
      <x:c r="M31" s="44"/>
      <x:c r="N31" s="45"/>
      <x:c r="O31" s="16" t="s">
        <x:v>5</x:v>
      </x:c>
      <x:c r="P31" s="46"/>
      <x:c r="Q31" s="44"/>
      <x:c r="R31" s="54"/>
    </x:row>
    <x:row r="32" spans="7:18" ht="17.25" customHeight="1">
      <x:c r="G32" s="53" t="s">
        <x:v>254</x:v>
      </x:c>
      <x:c r="H32" s="44"/>
      <x:c r="I32" s="44"/>
      <x:c r="J32" s="44"/>
      <x:c r="K32" s="16" t="s">
        <x:v>254</x:v>
      </x:c>
      <x:c r="L32" s="45">
        <x:f>H32+'2026.9.10'!L22</x:f>
        <x:v>0</x:v>
      </x:c>
      <x:c r="M32" s="44"/>
      <x:c r="N32" s="45"/>
      <x:c r="O32" s="16" t="s">
        <x:v>254</x:v>
      </x:c>
      <x:c r="P32" s="46">
        <x:v>17</x:v>
      </x:c>
      <x:c r="Q32" s="44"/>
      <x:c r="R32" s="54"/>
    </x:row>
    <x:row r="33" spans="1:18" customFormat="1" ht="17.25" customHeight="1">
      <x:c r="A33" s="10"/>
      <x:c r="B33" s="1"/>
      <x:c r="C33" s="1"/>
      <x:c r="D33" s="2"/>
      <x:c r="E33" s="1"/>
      <x:c r="F33" s="1"/>
      <x:c r="G33" s="53" t="s">
        <x:v>271</x:v>
      </x:c>
      <x:c r="H33" s="44"/>
      <x:c r="I33" s="44"/>
      <x:c r="J33" s="44"/>
      <x:c r="K33" s="16" t="s">
        <x:v>271</x:v>
      </x:c>
      <x:c r="L33" s="45"/>
      <x:c r="M33" s="44"/>
      <x:c r="N33" s="45"/>
      <x:c r="O33" s="16" t="s">
        <x:v>271</x:v>
      </x:c>
      <x:c r="P33" s="46"/>
      <x:c r="Q33" s="44"/>
      <x:c r="R33" s="54"/>
    </x:row>
    <x:row r="34" spans="1:18" customFormat="1" ht="17.25" customHeight="1">
      <x:c r="A34" s="10"/>
      <x:c r="B34" s="1"/>
      <x:c r="C34" s="1"/>
      <x:c r="D34" s="2"/>
      <x:c r="E34" s="1"/>
      <x:c r="F34" s="1"/>
      <x:c r="G34" s="53" t="s">
        <x:v>4</x:v>
      </x:c>
      <x:c r="H34" s="44"/>
      <x:c r="I34" s="44"/>
      <x:c r="J34" s="44"/>
      <x:c r="K34" s="16" t="s">
        <x:v>4</x:v>
      </x:c>
      <x:c r="L34" s="45"/>
      <x:c r="M34" s="44"/>
      <x:c r="N34" s="45"/>
      <x:c r="O34" s="16" t="s">
        <x:v>4</x:v>
      </x:c>
      <x:c r="P34" s="46"/>
      <x:c r="Q34" s="44"/>
      <x:c r="R34" s="54"/>
    </x:row>
    <x:row r="35" spans="1:18" customFormat="1" ht="17.25" customHeight="1">
      <x:c r="A35" s="10"/>
      <x:c r="B35" s="1"/>
      <x:c r="C35" s="1"/>
      <x:c r="D35" s="2"/>
      <x:c r="E35" s="1"/>
      <x:c r="F35" s="1"/>
      <x:c r="G35" s="53" t="s">
        <x:v>9</x:v>
      </x:c>
      <x:c r="H35" s="44"/>
      <x:c r="I35" s="44"/>
      <x:c r="J35" s="44"/>
      <x:c r="K35" s="16" t="s">
        <x:v>9</x:v>
      </x:c>
      <x:c r="L35" s="45"/>
      <x:c r="M35" s="44"/>
      <x:c r="N35" s="45"/>
      <x:c r="O35" s="16" t="s">
        <x:v>9</x:v>
      </x:c>
      <x:c r="P35" s="46"/>
      <x:c r="Q35" s="44"/>
      <x:c r="R35" s="54"/>
    </x:row>
    <x:row r="36" spans="1:18" customFormat="1" ht="17.25" customHeight="1">
      <x:c r="A36" s="10"/>
      <x:c r="B36" s="1"/>
      <x:c r="C36" s="1"/>
      <x:c r="D36" s="2"/>
      <x:c r="E36" s="1"/>
      <x:c r="F36" s="1"/>
      <x:c r="G36" s="53" t="s">
        <x:v>244</x:v>
      </x:c>
      <x:c r="H36" s="44"/>
      <x:c r="I36" s="44"/>
      <x:c r="J36" s="44"/>
      <x:c r="K36" s="16" t="s">
        <x:v>244</x:v>
      </x:c>
      <x:c r="L36" s="45">
        <x:f>H36+'2026.9.10'!L23</x:f>
        <x:v>0</x:v>
      </x:c>
      <x:c r="M36" s="44"/>
      <x:c r="N36" s="45"/>
      <x:c r="O36" s="16" t="s">
        <x:v>244</x:v>
      </x:c>
      <x:c r="P36" s="47"/>
      <x:c r="Q36" s="44"/>
      <x:c r="R36" s="54"/>
    </x:row>
    <x:row r="37" spans="1:18" customFormat="1" ht="17.25" customHeight="1">
      <x:c r="A37" s="10"/>
      <x:c r="B37" s="1"/>
      <x:c r="C37" s="1"/>
      <x:c r="D37" s="2"/>
      <x:c r="E37" s="1"/>
      <x:c r="F37" s="1"/>
      <x:c r="G37" s="53" t="s">
        <x:v>247</x:v>
      </x:c>
      <x:c r="H37" s="44"/>
      <x:c r="I37" s="44"/>
      <x:c r="J37" s="44"/>
      <x:c r="K37" s="16" t="s">
        <x:v>247</x:v>
      </x:c>
      <x:c r="L37" s="45">
        <x:f>H37+'2026.9.10'!L24</x:f>
        <x:v>0</x:v>
      </x:c>
      <x:c r="M37" s="44"/>
      <x:c r="N37" s="45"/>
      <x:c r="O37" s="16" t="s">
        <x:v>247</x:v>
      </x:c>
      <x:c r="P37" s="47"/>
      <x:c r="Q37" s="44"/>
      <x:c r="R37" s="54"/>
    </x:row>
    <x:row r="38" spans="1:18" customFormat="1" ht="17.25" customHeight="1">
      <x:c r="A38" s="10"/>
      <x:c r="B38" s="1"/>
      <x:c r="C38" s="1"/>
      <x:c r="D38" s="2"/>
      <x:c r="E38" s="1"/>
      <x:c r="F38" s="1"/>
      <x:c r="G38" s="53" t="s">
        <x:v>22</x:v>
      </x:c>
      <x:c r="H38" s="44"/>
      <x:c r="I38" s="44"/>
      <x:c r="J38" s="44"/>
      <x:c r="K38" s="16" t="s">
        <x:v>22</x:v>
      </x:c>
      <x:c r="L38" s="45">
        <x:f>H38+'2026.9.10'!L25</x:f>
        <x:v>1</x:v>
      </x:c>
      <x:c r="M38" s="44"/>
      <x:c r="N38" s="45"/>
      <x:c r="O38" s="16" t="s">
        <x:v>22</x:v>
      </x:c>
      <x:c r="P38" s="47"/>
      <x:c r="Q38" s="44"/>
      <x:c r="R38" s="54"/>
    </x:row>
    <x:row r="39" spans="1:18" customFormat="1" ht="17.25" customHeight="1">
      <x:c r="A39" s="10"/>
      <x:c r="B39" s="1"/>
      <x:c r="C39" s="1"/>
      <x:c r="D39" s="2"/>
      <x:c r="E39" s="1"/>
      <x:c r="F39" s="1"/>
      <x:c r="G39" s="55" t="s">
        <x:v>96</x:v>
      </x:c>
      <x:c r="H39" s="48"/>
      <x:c r="I39" s="48"/>
      <x:c r="J39" s="48"/>
      <x:c r="K39" s="63" t="s">
        <x:v>96</x:v>
      </x:c>
      <x:c r="L39" s="49">
        <x:f>H39+'2026.9.10'!L26</x:f>
        <x:v>0</x:v>
      </x:c>
      <x:c r="M39" s="48"/>
      <x:c r="N39" s="49"/>
      <x:c r="O39" s="63" t="s">
        <x:v>96</x:v>
      </x:c>
      <x:c r="P39" s="50"/>
      <x:c r="Q39" s="48"/>
      <x:c r="R39" s="56"/>
    </x:row>
    <x:row r="40" spans="1:18" customFormat="1">
      <x:c r="A40" s="10"/>
      <x:c r="B40" s="1"/>
      <x:c r="C40" s="1"/>
      <x:c r="D40" s="2"/>
      <x:c r="E40" s="1"/>
      <x:c r="F40" s="1"/>
      <x:c r="G40" s="57"/>
      <x:c r="H40" s="58"/>
      <x:c r="I40" s="58"/>
      <x:c r="J40" s="58"/>
      <x:c r="K40" s="59"/>
      <x:c r="L40" s="60">
        <x:f>SUM(L4:L39)</x:f>
        <x:v>1</x:v>
      </x:c>
      <x:c r="M40" s="59"/>
      <x:c r="N40" s="60">
        <x:f>SUM(N4:N39)</x:f>
        <x:v>12</x:v>
      </x:c>
      <x:c r="O40" s="59"/>
      <x:c r="P40" s="59">
        <x:f>SUM(P4:P39)</x:f>
        <x:v>100</x:v>
      </x:c>
      <x:c r="Q40" s="59"/>
      <x:c r="R40" s="61">
        <x:f>SUM(R4:R39)</x:f>
        <x:v>33</x:v>
      </x:c>
    </x:row>
    <x:row r="41" spans="7:7">
      <x:c r="G41"/>
    </x:row>
    <x:row r="42" spans="1:14" s="8" customFormat="1" ht="29.25" customHeight="1">
      <x:c r="A42" s="11" t="s">
        <x:v>279</x:v>
      </x:c>
      <x:c r="B42" s="9" t="s">
        <x:v>287</x:v>
      </x:c>
      <x:c r="C42" s="9" t="s">
        <x:v>200</x:v>
      </x:c>
      <x:c r="D42" s="9" t="s">
        <x:v>198</x:v>
      </x:c>
      <x:c r="E42" s="9" t="s">
        <x:v>123</x:v>
      </x:c>
      <x:c r="F42" s="9" t="s">
        <x:v>127</x:v>
      </x:c>
      <x:c r="G42" s="9" t="s">
        <x:v>151</x:v>
      </x:c>
      <x:c r="H42" s="9" t="s">
        <x:v>114</x:v>
      </x:c>
      <x:c r="I42" s="9" t="s">
        <x:v>155</x:v>
      </x:c>
      <x:c r="J42" s="14" t="s">
        <x:v>154</x:v>
      </x:c>
      <x:c r="K42" s="23" t="s">
        <x:v>204</x:v>
      </x:c>
      <x:c r="L42" s="9" t="s">
        <x:v>183</x:v>
      </x:c>
      <x:c r="M42" s="9" t="s">
        <x:v>211</x:v>
      </x:c>
      <x:c r="N42" s="14" t="s">
        <x:v>282</x:v>
      </x:c>
    </x:row>
    <x:row r="43" spans="1:14" s="8" customFormat="1" ht="18.75" customHeight="1">
      <x:c r="A43" s="11" t="s">
        <x:v>221</x:v>
      </x:c>
      <x:c r="B43" s="9" t="s">
        <x:v>181</x:v>
      </x:c>
      <x:c r="C43" s="9">
        <x:v>1</x:v>
      </x:c>
      <x:c r="D43" s="14" t="s">
        <x:v>23</x:v>
      </x:c>
      <x:c r="E43" s="9" t="s">
        <x:v>278</x:v>
      </x:c>
      <x:c r="F43" s="9"/>
      <x:c r="G43" s="62">
        <x:f>H4*C43</x:f>
        <x:v>0</x:v>
      </x:c>
      <x:c r="H43" s="9"/>
      <x:c r="I43" s="9"/>
      <x:c r="J43" s="36">
        <x:f>F43+I43-G43-H43</x:f>
        <x:v>0</x:v>
      </x:c>
      <x:c r="K43" s="37">
        <x:f>J43/C43</x:f>
        <x:v>0</x:v>
      </x:c>
      <x:c r="L43" s="25" t="str">
        <x:f>IF(J43&lt;M43,119,"")</x:f>
        <x:v/>
      </x:c>
      <x:c r="M43" s="34">
        <x:f>P4*C43</x:f>
        <x:v>0</x:v>
      </x:c>
      <x:c r="N43" s="35">
        <x:f>J43-M43</x:f>
        <x:v>0</x:v>
      </x:c>
    </x:row>
    <x:row r="44" spans="1:14" s="8" customFormat="1" ht="18.75" customHeight="1">
      <x:c r="A44" s="11" t="s">
        <x:v>221</x:v>
      </x:c>
      <x:c r="B44" s="9" t="s">
        <x:v>181</x:v>
      </x:c>
      <x:c r="C44" s="9">
        <x:v>1</x:v>
      </x:c>
      <x:c r="D44" s="14" t="s">
        <x:v>94</x:v>
      </x:c>
      <x:c r="E44" s="9" t="s">
        <x:v>278</x:v>
      </x:c>
      <x:c r="F44" s="9"/>
      <x:c r="G44" s="62">
        <x:f>H5*C44</x:f>
        <x:v>0</x:v>
      </x:c>
      <x:c r="H44" s="9"/>
      <x:c r="I44" s="9"/>
      <x:c r="J44" s="36">
        <x:f>F44+I44-G44-H44</x:f>
        <x:v>0</x:v>
      </x:c>
      <x:c r="K44" s="37">
        <x:f>J44/C44</x:f>
        <x:v>0</x:v>
      </x:c>
      <x:c r="L44" s="25">
        <x:f>IF(J44&lt;M44,119,"")</x:f>
        <x:v>119</x:v>
      </x:c>
      <x:c r="M44" s="34">
        <x:f>P5*C44</x:f>
        <x:v>6</x:v>
      </x:c>
      <x:c r="N44" s="35">
        <x:f>J44-M44</x:f>
        <x:v>-6</x:v>
      </x:c>
    </x:row>
    <x:row r="45" spans="1:14" s="8" customFormat="1" ht="18.75" customHeight="1">
      <x:c r="A45" s="11" t="s">
        <x:v>221</x:v>
      </x:c>
      <x:c r="B45" s="9" t="s">
        <x:v>181</x:v>
      </x:c>
      <x:c r="C45" s="9">
        <x:v>1</x:v>
      </x:c>
      <x:c r="D45" s="14" t="s">
        <x:v>27</x:v>
      </x:c>
      <x:c r="E45" s="9" t="s">
        <x:v>278</x:v>
      </x:c>
      <x:c r="F45" s="9"/>
      <x:c r="G45" s="62">
        <x:f>H6*C45</x:f>
        <x:v>0</x:v>
      </x:c>
      <x:c r="H45" s="9"/>
      <x:c r="I45" s="9"/>
      <x:c r="J45" s="36">
        <x:f>F45+I45-G45-H45</x:f>
        <x:v>0</x:v>
      </x:c>
      <x:c r="K45" s="37">
        <x:f>J45/C45</x:f>
        <x:v>0</x:v>
      </x:c>
      <x:c r="L45" s="25" t="str">
        <x:f>IF(J45&lt;M45,119,"")</x:f>
        <x:v/>
      </x:c>
      <x:c r="M45" s="34">
        <x:f>P6*C45</x:f>
        <x:v>0</x:v>
      </x:c>
      <x:c r="N45" s="35">
        <x:f>J45-M45</x:f>
        <x:v>0</x:v>
      </x:c>
    </x:row>
    <x:row r="46" spans="1:14" s="8" customFormat="1" ht="18.75" customHeight="1">
      <x:c r="A46" s="11" t="s">
        <x:v>221</x:v>
      </x:c>
      <x:c r="B46" s="9" t="s">
        <x:v>181</x:v>
      </x:c>
      <x:c r="C46" s="9">
        <x:v>1</x:v>
      </x:c>
      <x:c r="D46" s="14" t="s">
        <x:v>36</x:v>
      </x:c>
      <x:c r="E46" s="9" t="s">
        <x:v>278</x:v>
      </x:c>
      <x:c r="F46" s="9"/>
      <x:c r="G46" s="62">
        <x:f>H7*C46</x:f>
        <x:v>0</x:v>
      </x:c>
      <x:c r="H46" s="9"/>
      <x:c r="I46" s="9"/>
      <x:c r="J46" s="36">
        <x:f>F46+I46-G46-H46</x:f>
        <x:v>0</x:v>
      </x:c>
      <x:c r="K46" s="37">
        <x:f>J46/C46</x:f>
        <x:v>0</x:v>
      </x:c>
      <x:c r="L46" s="25" t="str">
        <x:f>IF(J46&lt;M46,119,"")</x:f>
        <x:v/>
      </x:c>
      <x:c r="M46" s="34">
        <x:f>P7*C46</x:f>
        <x:v>0</x:v>
      </x:c>
      <x:c r="N46" s="35">
        <x:f>J46-M46</x:f>
        <x:v>0</x:v>
      </x:c>
    </x:row>
    <x:row r="47" spans="1:14" s="8" customFormat="1" ht="18.75" customHeight="1">
      <x:c r="A47" s="11" t="s">
        <x:v>221</x:v>
      </x:c>
      <x:c r="B47" s="9" t="s">
        <x:v>181</x:v>
      </x:c>
      <x:c r="C47" s="9">
        <x:v>1</x:v>
      </x:c>
      <x:c r="D47" s="14" t="s">
        <x:v>55</x:v>
      </x:c>
      <x:c r="E47" s="9" t="s">
        <x:v>278</x:v>
      </x:c>
      <x:c r="F47" s="9"/>
      <x:c r="G47" s="62">
        <x:f>H8*C47</x:f>
        <x:v>0</x:v>
      </x:c>
      <x:c r="H47" s="9"/>
      <x:c r="I47" s="9"/>
      <x:c r="J47" s="36">
        <x:f>F47+I47-G47-H47</x:f>
        <x:v>0</x:v>
      </x:c>
      <x:c r="K47" s="37">
        <x:f>J47/C47</x:f>
        <x:v>0</x:v>
      </x:c>
      <x:c r="L47" s="25">
        <x:f>IF(J47&lt;M47,119,"")</x:f>
        <x:v>119</x:v>
      </x:c>
      <x:c r="M47" s="34">
        <x:f>P8*C47</x:f>
        <x:v>12</x:v>
      </x:c>
      <x:c r="N47" s="35">
        <x:f>J47-M47</x:f>
        <x:v>-12</x:v>
      </x:c>
    </x:row>
    <x:row r="48" spans="1:14" s="8" customFormat="1" ht="18.75" customHeight="1">
      <x:c r="A48" s="11" t="s">
        <x:v>221</x:v>
      </x:c>
      <x:c r="B48" s="9" t="s">
        <x:v>181</x:v>
      </x:c>
      <x:c r="C48" s="9">
        <x:v>1</x:v>
      </x:c>
      <x:c r="D48" s="14" t="s">
        <x:v>44</x:v>
      </x:c>
      <x:c r="E48" s="9" t="s">
        <x:v>278</x:v>
      </x:c>
      <x:c r="F48" s="9"/>
      <x:c r="G48" s="62">
        <x:f>H9*C48</x:f>
        <x:v>0</x:v>
      </x:c>
      <x:c r="H48" s="9"/>
      <x:c r="I48" s="9"/>
      <x:c r="J48" s="36">
        <x:f>F48+I48-G48-H48</x:f>
        <x:v>0</x:v>
      </x:c>
      <x:c r="K48" s="37">
        <x:f>J48/C48</x:f>
        <x:v>0</x:v>
      </x:c>
      <x:c r="L48" s="25">
        <x:f>IF(J48&lt;M48,119,"")</x:f>
        <x:v>119</x:v>
      </x:c>
      <x:c r="M48" s="34">
        <x:f>P9*C48</x:f>
        <x:v>6</x:v>
      </x:c>
      <x:c r="N48" s="35">
        <x:f>J48-M48</x:f>
        <x:v>-6</x:v>
      </x:c>
    </x:row>
    <x:row r="49" spans="1:14" s="8" customFormat="1" ht="18.75" customHeight="1">
      <x:c r="A49" s="11" t="s">
        <x:v>221</x:v>
      </x:c>
      <x:c r="B49" s="9" t="s">
        <x:v>181</x:v>
      </x:c>
      <x:c r="C49" s="9">
        <x:v>1</x:v>
      </x:c>
      <x:c r="D49" s="14" t="s">
        <x:v>255</x:v>
      </x:c>
      <x:c r="E49" s="9" t="s">
        <x:v>278</x:v>
      </x:c>
      <x:c r="F49" s="9"/>
      <x:c r="G49" s="62">
        <x:f>H10*C49</x:f>
        <x:v>0</x:v>
      </x:c>
      <x:c r="H49" s="9"/>
      <x:c r="I49" s="9"/>
      <x:c r="J49" s="36">
        <x:f>F49+I49-G49-H49</x:f>
        <x:v>0</x:v>
      </x:c>
      <x:c r="K49" s="37">
        <x:f>J49/C49</x:f>
        <x:v>0</x:v>
      </x:c>
      <x:c r="L49" s="25">
        <x:f>IF(J49&lt;M49,119,"")</x:f>
        <x:v>119</x:v>
      </x:c>
      <x:c r="M49" s="34">
        <x:f>P10*C49</x:f>
        <x:v>8</x:v>
      </x:c>
      <x:c r="N49" s="35">
        <x:f>J49-M49</x:f>
        <x:v>-8</x:v>
      </x:c>
    </x:row>
    <x:row r="50" spans="1:14" s="8" customFormat="1" ht="18.75" customHeight="1">
      <x:c r="A50" s="11" t="s">
        <x:v>221</x:v>
      </x:c>
      <x:c r="B50" s="9" t="s">
        <x:v>181</x:v>
      </x:c>
      <x:c r="C50" s="9">
        <x:v>1</x:v>
      </x:c>
      <x:c r="D50" s="14" t="s">
        <x:v>76</x:v>
      </x:c>
      <x:c r="E50" s="9" t="s">
        <x:v>278</x:v>
      </x:c>
      <x:c r="F50" s="9"/>
      <x:c r="G50" s="62">
        <x:f>H11*C50</x:f>
        <x:v>0</x:v>
      </x:c>
      <x:c r="H50" s="9"/>
      <x:c r="I50" s="9"/>
      <x:c r="J50" s="36">
        <x:f>F50+I50-G50-H50</x:f>
        <x:v>0</x:v>
      </x:c>
      <x:c r="K50" s="37">
        <x:f>J50/C50</x:f>
        <x:v>0</x:v>
      </x:c>
      <x:c r="L50" s="25" t="str">
        <x:f>IF(J50&lt;M50,119,"")</x:f>
        <x:v/>
      </x:c>
      <x:c r="M50" s="34">
        <x:f>P11*C50</x:f>
        <x:v>0</x:v>
      </x:c>
      <x:c r="N50" s="35">
        <x:f>J50-M50</x:f>
        <x:v>0</x:v>
      </x:c>
    </x:row>
    <x:row r="51" spans="1:14" s="8" customFormat="1" ht="18.75" customHeight="1">
      <x:c r="A51" s="11" t="s">
        <x:v>221</x:v>
      </x:c>
      <x:c r="B51" s="9" t="s">
        <x:v>181</x:v>
      </x:c>
      <x:c r="C51" s="9">
        <x:v>1</x:v>
      </x:c>
      <x:c r="D51" s="14" t="s">
        <x:v>33</x:v>
      </x:c>
      <x:c r="E51" s="9" t="s">
        <x:v>278</x:v>
      </x:c>
      <x:c r="F51" s="9"/>
      <x:c r="G51" s="62">
        <x:f>H12*C51</x:f>
        <x:v>0</x:v>
      </x:c>
      <x:c r="H51" s="9"/>
      <x:c r="I51" s="9"/>
      <x:c r="J51" s="36">
        <x:f>F51+I51-G51-H51</x:f>
        <x:v>0</x:v>
      </x:c>
      <x:c r="K51" s="37">
        <x:f>J51/C51</x:f>
        <x:v>0</x:v>
      </x:c>
      <x:c r="L51" s="25" t="str">
        <x:f>IF(J51&lt;M51,119,"")</x:f>
        <x:v/>
      </x:c>
      <x:c r="M51" s="34">
        <x:f>P12*C51</x:f>
        <x:v>0</x:v>
      </x:c>
      <x:c r="N51" s="35">
        <x:f>J51-M51</x:f>
        <x:v>0</x:v>
      </x:c>
    </x:row>
    <x:row r="52" spans="1:14" s="8" customFormat="1" ht="18.75" customHeight="1">
      <x:c r="A52" s="11" t="s">
        <x:v>221</x:v>
      </x:c>
      <x:c r="B52" s="9" t="s">
        <x:v>181</x:v>
      </x:c>
      <x:c r="C52" s="9">
        <x:v>1</x:v>
      </x:c>
      <x:c r="D52" s="14" t="s">
        <x:v>261</x:v>
      </x:c>
      <x:c r="E52" s="9" t="s">
        <x:v>278</x:v>
      </x:c>
      <x:c r="F52" s="9"/>
      <x:c r="G52" s="62">
        <x:f>H13*C52</x:f>
        <x:v>0</x:v>
      </x:c>
      <x:c r="H52" s="9"/>
      <x:c r="I52" s="9"/>
      <x:c r="J52" s="36">
        <x:f>F52+I52-G52-H52</x:f>
        <x:v>0</x:v>
      </x:c>
      <x:c r="K52" s="37">
        <x:f>J52/C52</x:f>
        <x:v>0</x:v>
      </x:c>
      <x:c r="L52" s="25" t="str">
        <x:f>IF(J52&lt;M52,119,"")</x:f>
        <x:v/>
      </x:c>
      <x:c r="M52" s="34">
        <x:f>P13*C52</x:f>
        <x:v>0</x:v>
      </x:c>
      <x:c r="N52" s="35">
        <x:f>J52-M52</x:f>
        <x:v>0</x:v>
      </x:c>
    </x:row>
    <x:row r="53" spans="1:14" s="8" customFormat="1" ht="18.75" customHeight="1">
      <x:c r="A53" s="11" t="s">
        <x:v>221</x:v>
      </x:c>
      <x:c r="B53" s="9" t="s">
        <x:v>181</x:v>
      </x:c>
      <x:c r="C53" s="9">
        <x:v>1</x:v>
      </x:c>
      <x:c r="D53" s="14" t="s">
        <x:v>266</x:v>
      </x:c>
      <x:c r="E53" s="9" t="s">
        <x:v>278</x:v>
      </x:c>
      <x:c r="F53" s="9"/>
      <x:c r="G53" s="62">
        <x:f>H14*C53</x:f>
        <x:v>0</x:v>
      </x:c>
      <x:c r="H53" s="9"/>
      <x:c r="I53" s="9"/>
      <x:c r="J53" s="36">
        <x:f>F53+I53-G53-H53</x:f>
        <x:v>0</x:v>
      </x:c>
      <x:c r="K53" s="37">
        <x:f>J53/C53</x:f>
        <x:v>0</x:v>
      </x:c>
      <x:c r="L53" s="25">
        <x:f>IF(J53&lt;M53,119,"")</x:f>
        <x:v>119</x:v>
      </x:c>
      <x:c r="M53" s="34">
        <x:f>P14*C53</x:f>
        <x:v>28</x:v>
      </x:c>
      <x:c r="N53" s="35">
        <x:f>J53-M53</x:f>
        <x:v>-28</x:v>
      </x:c>
    </x:row>
    <x:row r="54" spans="1:14" s="8" customFormat="1" ht="18.75" customHeight="1">
      <x:c r="A54" s="11" t="s">
        <x:v>221</x:v>
      </x:c>
      <x:c r="B54" s="9" t="s">
        <x:v>216</x:v>
      </x:c>
      <x:c r="C54" s="9">
        <x:v>1</x:v>
      </x:c>
      <x:c r="D54" s="14" t="s">
        <x:v>259</x:v>
      </x:c>
      <x:c r="E54" s="9" t="s">
        <x:v>278</x:v>
      </x:c>
      <x:c r="F54" s="9"/>
      <x:c r="G54" s="62">
        <x:f>H15*C54</x:f>
        <x:v>0</x:v>
      </x:c>
      <x:c r="H54" s="9"/>
      <x:c r="I54" s="9"/>
      <x:c r="J54" s="36">
        <x:f>F54+I54-G54-H54</x:f>
        <x:v>0</x:v>
      </x:c>
      <x:c r="K54" s="37">
        <x:f>J54/C54</x:f>
        <x:v>0</x:v>
      </x:c>
      <x:c r="L54" s="25" t="str">
        <x:f>IF(J54&lt;M54,119,"")</x:f>
        <x:v/>
      </x:c>
      <x:c r="M54" s="34">
        <x:f>P15*C54</x:f>
        <x:v>0</x:v>
      </x:c>
      <x:c r="N54" s="35">
        <x:f>J54-M54</x:f>
        <x:v>0</x:v>
      </x:c>
    </x:row>
    <x:row r="55" spans="1:14" s="8" customFormat="1" ht="18.75" customHeight="1">
      <x:c r="A55" s="11" t="s">
        <x:v>221</x:v>
      </x:c>
      <x:c r="B55" s="9" t="s">
        <x:v>181</x:v>
      </x:c>
      <x:c r="C55" s="9">
        <x:v>1</x:v>
      </x:c>
      <x:c r="D55" s="14" t="s">
        <x:v>251</x:v>
      </x:c>
      <x:c r="E55" s="9" t="s">
        <x:v>278</x:v>
      </x:c>
      <x:c r="F55" s="9"/>
      <x:c r="G55" s="62">
        <x:f>H16*C55</x:f>
        <x:v>0</x:v>
      </x:c>
      <x:c r="H55" s="9"/>
      <x:c r="I55" s="9"/>
      <x:c r="J55" s="36">
        <x:f>F55+I55-G55-H55</x:f>
        <x:v>0</x:v>
      </x:c>
      <x:c r="K55" s="37">
        <x:f>J55/C55</x:f>
        <x:v>0</x:v>
      </x:c>
      <x:c r="L55" s="25" t="str">
        <x:f>IF(J55&lt;M55,119,"")</x:f>
        <x:v/>
      </x:c>
      <x:c r="M55" s="34">
        <x:f>P16*C55</x:f>
        <x:v>0</x:v>
      </x:c>
      <x:c r="N55" s="35">
        <x:f>J55-M55</x:f>
        <x:v>0</x:v>
      </x:c>
    </x:row>
    <x:row r="56" spans="1:14" s="8" customFormat="1" ht="18.75" customHeight="1">
      <x:c r="A56" s="11" t="s">
        <x:v>221</x:v>
      </x:c>
      <x:c r="B56" s="9" t="s">
        <x:v>216</x:v>
      </x:c>
      <x:c r="C56" s="9">
        <x:v>1</x:v>
      </x:c>
      <x:c r="D56" s="14" t="s">
        <x:v>270</x:v>
      </x:c>
      <x:c r="E56" s="9" t="s">
        <x:v>278</x:v>
      </x:c>
      <x:c r="F56" s="9"/>
      <x:c r="G56" s="62">
        <x:f>H17*C56</x:f>
        <x:v>0</x:v>
      </x:c>
      <x:c r="H56" s="9"/>
      <x:c r="I56" s="9"/>
      <x:c r="J56" s="36">
        <x:f>F56+I56-G56-H56</x:f>
        <x:v>0</x:v>
      </x:c>
      <x:c r="K56" s="37">
        <x:f>J56/C56</x:f>
        <x:v>0</x:v>
      </x:c>
      <x:c r="L56" s="25" t="str">
        <x:f>IF(J56&lt;M56,119,"")</x:f>
        <x:v/>
      </x:c>
      <x:c r="M56" s="34">
        <x:f>P17*C56</x:f>
        <x:v>0</x:v>
      </x:c>
      <x:c r="N56" s="35">
        <x:f>J56-M56</x:f>
        <x:v>0</x:v>
      </x:c>
    </x:row>
    <x:row r="57" spans="1:14" s="8" customFormat="1" ht="18.75" customHeight="1">
      <x:c r="A57" s="11" t="s">
        <x:v>221</x:v>
      </x:c>
      <x:c r="B57" s="9" t="s">
        <x:v>181</x:v>
      </x:c>
      <x:c r="C57" s="9">
        <x:v>1</x:v>
      </x:c>
      <x:c r="D57" s="14" t="s">
        <x:v>265</x:v>
      </x:c>
      <x:c r="E57" s="9" t="s">
        <x:v>278</x:v>
      </x:c>
      <x:c r="F57" s="9"/>
      <x:c r="G57" s="62">
        <x:f>H18*C57</x:f>
        <x:v>0</x:v>
      </x:c>
      <x:c r="H57" s="9"/>
      <x:c r="I57" s="9"/>
      <x:c r="J57" s="36">
        <x:f>F57+I57-G57-H57</x:f>
        <x:v>0</x:v>
      </x:c>
      <x:c r="K57" s="37">
        <x:f>J57/C57</x:f>
        <x:v>0</x:v>
      </x:c>
      <x:c r="L57" s="25">
        <x:f>IF(J57&lt;M57,119,"")</x:f>
        <x:v>119</x:v>
      </x:c>
      <x:c r="M57" s="34">
        <x:f>P18*C57</x:f>
        <x:v>4</x:v>
      </x:c>
      <x:c r="N57" s="35">
        <x:f>J57-M57</x:f>
        <x:v>-4</x:v>
      </x:c>
    </x:row>
    <x:row r="58" spans="1:14" s="8" customFormat="1" ht="18.75" customHeight="1">
      <x:c r="A58" s="11" t="s">
        <x:v>221</x:v>
      </x:c>
      <x:c r="B58" s="9" t="s">
        <x:v>181</x:v>
      </x:c>
      <x:c r="C58" s="9">
        <x:v>1</x:v>
      </x:c>
      <x:c r="D58" s="14" t="s">
        <x:v>252</x:v>
      </x:c>
      <x:c r="E58" s="9" t="s">
        <x:v>278</x:v>
      </x:c>
      <x:c r="F58" s="9"/>
      <x:c r="G58" s="62">
        <x:f>H19*C58</x:f>
        <x:v>0</x:v>
      </x:c>
      <x:c r="H58" s="9"/>
      <x:c r="I58" s="9"/>
      <x:c r="J58" s="36">
        <x:f>F58+I58-G58-H58</x:f>
        <x:v>0</x:v>
      </x:c>
      <x:c r="K58" s="37">
        <x:f>J58/C58</x:f>
        <x:v>0</x:v>
      </x:c>
      <x:c r="L58" s="25">
        <x:f>IF(J58&lt;M58,119,"")</x:f>
        <x:v>119</x:v>
      </x:c>
      <x:c r="M58" s="34">
        <x:f>P19*C58</x:f>
        <x:v>7</x:v>
      </x:c>
      <x:c r="N58" s="35">
        <x:f>J58-M58</x:f>
        <x:v>-7</x:v>
      </x:c>
    </x:row>
    <x:row r="59" spans="1:14" s="8" customFormat="1" ht="18.75" customHeight="1">
      <x:c r="A59" s="11" t="s">
        <x:v>221</x:v>
      </x:c>
      <x:c r="B59" s="9" t="s">
        <x:v>216</x:v>
      </x:c>
      <x:c r="C59" s="9">
        <x:v>1</x:v>
      </x:c>
      <x:c r="D59" s="14" t="s">
        <x:v>272</x:v>
      </x:c>
      <x:c r="E59" s="9" t="s">
        <x:v>278</x:v>
      </x:c>
      <x:c r="F59" s="9"/>
      <x:c r="G59" s="62">
        <x:f>H20*C59</x:f>
        <x:v>0</x:v>
      </x:c>
      <x:c r="H59" s="9"/>
      <x:c r="I59" s="9"/>
      <x:c r="J59" s="36">
        <x:f>F59+I59-G59-H59</x:f>
        <x:v>0</x:v>
      </x:c>
      <x:c r="K59" s="37">
        <x:f>J59/C59</x:f>
        <x:v>0</x:v>
      </x:c>
      <x:c r="L59" s="25" t="str">
        <x:f>IF(J59&lt;M59,119,"")</x:f>
        <x:v/>
      </x:c>
      <x:c r="M59" s="34">
        <x:f>P20*C59</x:f>
        <x:v>0</x:v>
      </x:c>
      <x:c r="N59" s="35">
        <x:f>J59-M59</x:f>
        <x:v>0</x:v>
      </x:c>
    </x:row>
    <x:row r="60" spans="1:14" s="8" customFormat="1" ht="18.75" customHeight="1">
      <x:c r="A60" s="11" t="s">
        <x:v>221</x:v>
      </x:c>
      <x:c r="B60" s="9" t="s">
        <x:v>181</x:v>
      </x:c>
      <x:c r="C60" s="9">
        <x:v>1</x:v>
      </x:c>
      <x:c r="D60" s="14" t="s">
        <x:v>16</x:v>
      </x:c>
      <x:c r="E60" s="9" t="s">
        <x:v>280</x:v>
      </x:c>
      <x:c r="F60" s="9"/>
      <x:c r="G60" s="62">
        <x:f>H21*C60</x:f>
        <x:v>0</x:v>
      </x:c>
      <x:c r="H60" s="9"/>
      <x:c r="I60" s="9"/>
      <x:c r="J60" s="36">
        <x:f>F60+I60-G60-H60</x:f>
        <x:v>0</x:v>
      </x:c>
      <x:c r="K60" s="37">
        <x:f>J60/C60</x:f>
        <x:v>0</x:v>
      </x:c>
      <x:c r="L60" s="25" t="str">
        <x:f>IF(J60&lt;M60,119,"")</x:f>
        <x:v/>
      </x:c>
      <x:c r="M60" s="34">
        <x:f>P21*C60</x:f>
        <x:v>0</x:v>
      </x:c>
      <x:c r="N60" s="35">
        <x:f>J60-M60</x:f>
        <x:v>0</x:v>
      </x:c>
    </x:row>
    <x:row r="61" spans="1:14" s="8" customFormat="1" ht="18.75" customHeight="1">
      <x:c r="A61" s="11" t="s">
        <x:v>221</x:v>
      </x:c>
      <x:c r="B61" s="9" t="s">
        <x:v>216</x:v>
      </x:c>
      <x:c r="C61" s="9">
        <x:v>1</x:v>
      </x:c>
      <x:c r="D61" s="14" t="s">
        <x:v>18</x:v>
      </x:c>
      <x:c r="E61" s="9" t="s">
        <x:v>280</x:v>
      </x:c>
      <x:c r="F61" s="9"/>
      <x:c r="G61" s="62">
        <x:f>H22*C61</x:f>
        <x:v>0</x:v>
      </x:c>
      <x:c r="H61" s="9"/>
      <x:c r="I61" s="9"/>
      <x:c r="J61" s="36">
        <x:f>F61+I61-G61-H61</x:f>
        <x:v>0</x:v>
      </x:c>
      <x:c r="K61" s="37">
        <x:f>J61/C61</x:f>
        <x:v>0</x:v>
      </x:c>
      <x:c r="L61" s="25" t="str">
        <x:f>IF(J61&lt;M61,119,"")</x:f>
        <x:v/>
      </x:c>
      <x:c r="M61" s="34">
        <x:f>P22*C61</x:f>
        <x:v>0</x:v>
      </x:c>
      <x:c r="N61" s="35">
        <x:f>J61-M61</x:f>
        <x:v>0</x:v>
      </x:c>
    </x:row>
    <x:row r="62" spans="1:14" s="8" customFormat="1" ht="18.75" customHeight="1">
      <x:c r="A62" s="11" t="s">
        <x:v>221</x:v>
      </x:c>
      <x:c r="B62" s="9" t="s">
        <x:v>181</x:v>
      </x:c>
      <x:c r="C62" s="9">
        <x:v>1</x:v>
      </x:c>
      <x:c r="D62" s="14" t="s">
        <x:v>101</x:v>
      </x:c>
      <x:c r="E62" s="9" t="s">
        <x:v>278</x:v>
      </x:c>
      <x:c r="F62" s="9"/>
      <x:c r="G62" s="62">
        <x:f>H23*C62</x:f>
        <x:v>0</x:v>
      </x:c>
      <x:c r="H62" s="9"/>
      <x:c r="I62" s="9"/>
      <x:c r="J62" s="36">
        <x:f>F62+I62-G62-H62</x:f>
        <x:v>0</x:v>
      </x:c>
      <x:c r="K62" s="37">
        <x:f>J62/C62</x:f>
        <x:v>0</x:v>
      </x:c>
      <x:c r="L62" s="25">
        <x:f>IF(J62&lt;M62,119,"")</x:f>
        <x:v>119</x:v>
      </x:c>
      <x:c r="M62" s="34">
        <x:f>P23*C62</x:f>
        <x:v>4</x:v>
      </x:c>
      <x:c r="N62" s="35">
        <x:f>J62-M62</x:f>
        <x:v>-4</x:v>
      </x:c>
    </x:row>
    <x:row r="63" spans="1:14" s="8" customFormat="1" ht="18.75" customHeight="1">
      <x:c r="A63" s="11" t="s">
        <x:v>221</x:v>
      </x:c>
      <x:c r="B63" s="9" t="s">
        <x:v>181</x:v>
      </x:c>
      <x:c r="C63" s="9">
        <x:v>1</x:v>
      </x:c>
      <x:c r="D63" s="14" t="s">
        <x:v>267</x:v>
      </x:c>
      <x:c r="E63" s="9" t="s">
        <x:v>278</x:v>
      </x:c>
      <x:c r="F63" s="9"/>
      <x:c r="G63" s="62">
        <x:f>H24*C63</x:f>
        <x:v>0</x:v>
      </x:c>
      <x:c r="H63" s="9"/>
      <x:c r="I63" s="9"/>
      <x:c r="J63" s="36">
        <x:f>F63+I63-G63-H63</x:f>
        <x:v>0</x:v>
      </x:c>
      <x:c r="K63" s="37">
        <x:f>J63/C63</x:f>
        <x:v>0</x:v>
      </x:c>
      <x:c r="L63" s="25">
        <x:f>IF(J63&lt;M63,119,"")</x:f>
        <x:v>119</x:v>
      </x:c>
      <x:c r="M63" s="34">
        <x:f>P24*C63</x:f>
        <x:v>5</x:v>
      </x:c>
      <x:c r="N63" s="35">
        <x:f>J63-M63</x:f>
        <x:v>-5</x:v>
      </x:c>
    </x:row>
    <x:row r="64" spans="1:14" s="8" customFormat="1" ht="18.75" customHeight="1">
      <x:c r="A64" s="11" t="s">
        <x:v>221</x:v>
      </x:c>
      <x:c r="B64" s="9" t="s">
        <x:v>216</x:v>
      </x:c>
      <x:c r="C64" s="9">
        <x:v>1</x:v>
      </x:c>
      <x:c r="D64" s="14" t="s">
        <x:v>257</x:v>
      </x:c>
      <x:c r="E64" s="9" t="s">
        <x:v>278</x:v>
      </x:c>
      <x:c r="F64" s="38"/>
      <x:c r="G64" s="62">
        <x:f>H25*C64</x:f>
        <x:v>0</x:v>
      </x:c>
      <x:c r="H64" s="9"/>
      <x:c r="I64" s="9"/>
      <x:c r="J64" s="36">
        <x:f>F64+I64-G64-H64</x:f>
        <x:v>0</x:v>
      </x:c>
      <x:c r="K64" s="37">
        <x:f>J64/C64</x:f>
        <x:v>0</x:v>
      </x:c>
      <x:c r="L64" s="25" t="str">
        <x:f>IF(J64&lt;M64,119,"")</x:f>
        <x:v/>
      </x:c>
      <x:c r="M64" s="34">
        <x:f>P25*C64</x:f>
        <x:v>0</x:v>
      </x:c>
      <x:c r="N64" s="35">
        <x:f>J64-M64</x:f>
        <x:v>0</x:v>
      </x:c>
    </x:row>
    <x:row r="65" spans="1:14" s="8" customFormat="1" ht="18.75" customHeight="1">
      <x:c r="A65" s="11" t="s">
        <x:v>221</x:v>
      </x:c>
      <x:c r="B65" s="9" t="s">
        <x:v>181</x:v>
      </x:c>
      <x:c r="C65" s="9">
        <x:v>1</x:v>
      </x:c>
      <x:c r="D65" s="14" t="s">
        <x:v>7</x:v>
      </x:c>
      <x:c r="E65" s="9" t="s">
        <x:v>280</x:v>
      </x:c>
      <x:c r="F65" s="38"/>
      <x:c r="G65" s="62">
        <x:f>H26*C65</x:f>
        <x:v>0</x:v>
      </x:c>
      <x:c r="H65" s="9"/>
      <x:c r="I65" s="9"/>
      <x:c r="J65" s="36">
        <x:f>F65+I65-G65-H65</x:f>
        <x:v>0</x:v>
      </x:c>
      <x:c r="K65" s="37">
        <x:f>J65/C65</x:f>
        <x:v>0</x:v>
      </x:c>
      <x:c r="L65" s="25" t="str">
        <x:f>IF(J65&lt;M65,119,"")</x:f>
        <x:v/>
      </x:c>
      <x:c r="M65" s="34">
        <x:f>P26*C65</x:f>
        <x:v>0</x:v>
      </x:c>
      <x:c r="N65" s="35">
        <x:f>J65-M65</x:f>
        <x:v>0</x:v>
      </x:c>
    </x:row>
    <x:row r="66" spans="1:14" s="8" customFormat="1" ht="18.75" customHeight="1">
      <x:c r="A66" s="11" t="s">
        <x:v>221</x:v>
      </x:c>
      <x:c r="B66" s="9" t="s">
        <x:v>216</x:v>
      </x:c>
      <x:c r="C66" s="9">
        <x:v>1</x:v>
      </x:c>
      <x:c r="D66" s="14" t="s">
        <x:v>15</x:v>
      </x:c>
      <x:c r="E66" s="9" t="s">
        <x:v>280</x:v>
      </x:c>
      <x:c r="F66" s="38"/>
      <x:c r="G66" s="62">
        <x:f>H27*C66</x:f>
        <x:v>0</x:v>
      </x:c>
      <x:c r="H66" s="9"/>
      <x:c r="I66" s="9"/>
      <x:c r="J66" s="36">
        <x:f>F66+I66-G66-H66</x:f>
        <x:v>0</x:v>
      </x:c>
      <x:c r="K66" s="37">
        <x:f>J66/C66</x:f>
        <x:v>0</x:v>
      </x:c>
      <x:c r="L66" s="25" t="str">
        <x:f>IF(J66&lt;M66,119,"")</x:f>
        <x:v/>
      </x:c>
      <x:c r="M66" s="34">
        <x:f>P27*C66</x:f>
        <x:v>0</x:v>
      </x:c>
      <x:c r="N66" s="35">
        <x:f>J66-M66</x:f>
        <x:v>0</x:v>
      </x:c>
    </x:row>
    <x:row r="67" spans="1:14" s="8" customFormat="1" ht="18.75" customHeight="1">
      <x:c r="A67" s="11" t="s">
        <x:v>221</x:v>
      </x:c>
      <x:c r="B67" s="9" t="s">
        <x:v>181</x:v>
      </x:c>
      <x:c r="C67" s="9">
        <x:v>1</x:v>
      </x:c>
      <x:c r="D67" s="14" t="s">
        <x:v>264</x:v>
      </x:c>
      <x:c r="E67" s="9" t="s">
        <x:v>278</x:v>
      </x:c>
      <x:c r="F67" s="38"/>
      <x:c r="G67" s="62">
        <x:f>H28*C67</x:f>
        <x:v>0</x:v>
      </x:c>
      <x:c r="H67" s="9"/>
      <x:c r="I67" s="9"/>
      <x:c r="J67" s="36">
        <x:f>F67+I67-G67-H67</x:f>
        <x:v>0</x:v>
      </x:c>
      <x:c r="K67" s="37">
        <x:f>J67/C67</x:f>
        <x:v>0</x:v>
      </x:c>
      <x:c r="L67" s="25">
        <x:f>IF(J67&lt;M67,119,"")</x:f>
        <x:v>119</x:v>
      </x:c>
      <x:c r="M67" s="34">
        <x:f>P28*C67</x:f>
        <x:v>3</x:v>
      </x:c>
      <x:c r="N67" s="35">
        <x:f>J67-M67</x:f>
        <x:v>-3</x:v>
      </x:c>
    </x:row>
    <x:row r="68" spans="1:14" s="8" customFormat="1" ht="18.75" customHeight="1">
      <x:c r="A68" s="11" t="s">
        <x:v>221</x:v>
      </x:c>
      <x:c r="B68" s="9" t="s">
        <x:v>216</x:v>
      </x:c>
      <x:c r="C68" s="9">
        <x:v>1</x:v>
      </x:c>
      <x:c r="D68" s="14" t="s">
        <x:v>269</x:v>
      </x:c>
      <x:c r="E68" s="9" t="s">
        <x:v>278</x:v>
      </x:c>
      <x:c r="F68" s="38"/>
      <x:c r="G68" s="62">
        <x:f>H29*C68</x:f>
        <x:v>0</x:v>
      </x:c>
      <x:c r="H68" s="9"/>
      <x:c r="I68" s="9"/>
      <x:c r="J68" s="36">
        <x:f>F68+I68-G68-H68</x:f>
        <x:v>0</x:v>
      </x:c>
      <x:c r="K68" s="37">
        <x:f>J68/C68</x:f>
        <x:v>0</x:v>
      </x:c>
      <x:c r="L68" s="25" t="str">
        <x:f>IF(J68&lt;M68,119,"")</x:f>
        <x:v/>
      </x:c>
      <x:c r="M68" s="34">
        <x:f>P29*C68</x:f>
        <x:v>0</x:v>
      </x:c>
      <x:c r="N68" s="35">
        <x:f>J68-M68</x:f>
        <x:v>0</x:v>
      </x:c>
    </x:row>
    <x:row r="69" spans="1:14" s="8" customFormat="1" ht="18.75" customHeight="1">
      <x:c r="A69" s="11" t="s">
        <x:v>221</x:v>
      </x:c>
      <x:c r="B69" s="9" t="s">
        <x:v>181</x:v>
      </x:c>
      <x:c r="C69" s="9">
        <x:v>1</x:v>
      </x:c>
      <x:c r="D69" s="14" t="s">
        <x:v>3</x:v>
      </x:c>
      <x:c r="E69" s="9" t="s">
        <x:v>280</x:v>
      </x:c>
      <x:c r="F69" s="38"/>
      <x:c r="G69" s="62">
        <x:f>H30*C69</x:f>
        <x:v>0</x:v>
      </x:c>
      <x:c r="H69" s="9"/>
      <x:c r="I69" s="9"/>
      <x:c r="J69" s="36">
        <x:f>F69+I69-G69-H69</x:f>
        <x:v>0</x:v>
      </x:c>
      <x:c r="K69" s="37">
        <x:f>J69/C69</x:f>
        <x:v>0</x:v>
      </x:c>
      <x:c r="L69" s="25" t="str">
        <x:f>IF(J69&lt;M69,119,"")</x:f>
        <x:v/>
      </x:c>
      <x:c r="M69" s="34">
        <x:f>P30*C69</x:f>
        <x:v>0</x:v>
      </x:c>
      <x:c r="N69" s="35">
        <x:f>J69-M69</x:f>
        <x:v>0</x:v>
      </x:c>
    </x:row>
    <x:row r="70" spans="1:14" s="8" customFormat="1" ht="18.75" customHeight="1">
      <x:c r="A70" s="11" t="s">
        <x:v>221</x:v>
      </x:c>
      <x:c r="B70" s="9" t="s">
        <x:v>216</x:v>
      </x:c>
      <x:c r="C70" s="9">
        <x:v>1</x:v>
      </x:c>
      <x:c r="D70" s="14" t="s">
        <x:v>5</x:v>
      </x:c>
      <x:c r="E70" s="9" t="s">
        <x:v>280</x:v>
      </x:c>
      <x:c r="F70" s="38"/>
      <x:c r="G70" s="62">
        <x:f>H31*C70</x:f>
        <x:v>0</x:v>
      </x:c>
      <x:c r="H70" s="9"/>
      <x:c r="I70" s="9"/>
      <x:c r="J70" s="36">
        <x:f>F70+I70-G70-H70</x:f>
        <x:v>0</x:v>
      </x:c>
      <x:c r="K70" s="37">
        <x:f>J70/C70</x:f>
        <x:v>0</x:v>
      </x:c>
      <x:c r="L70" s="25" t="str">
        <x:f>IF(J70&lt;M70,119,"")</x:f>
        <x:v/>
      </x:c>
      <x:c r="M70" s="34">
        <x:f>P31*C70</x:f>
        <x:v>0</x:v>
      </x:c>
      <x:c r="N70" s="35">
        <x:f>J70-M70</x:f>
        <x:v>0</x:v>
      </x:c>
    </x:row>
    <x:row r="71" spans="1:14" s="8" customFormat="1" ht="18.75" customHeight="1">
      <x:c r="A71" s="11" t="s">
        <x:v>221</x:v>
      </x:c>
      <x:c r="B71" s="9" t="s">
        <x:v>181</x:v>
      </x:c>
      <x:c r="C71" s="9">
        <x:v>1</x:v>
      </x:c>
      <x:c r="D71" s="14" t="s">
        <x:v>254</x:v>
      </x:c>
      <x:c r="E71" s="9" t="s">
        <x:v>278</x:v>
      </x:c>
      <x:c r="F71" s="38"/>
      <x:c r="G71" s="62">
        <x:f>H32*C71</x:f>
        <x:v>0</x:v>
      </x:c>
      <x:c r="H71" s="9"/>
      <x:c r="I71" s="9"/>
      <x:c r="J71" s="36">
        <x:f>F71+I71-G71-H71</x:f>
        <x:v>0</x:v>
      </x:c>
      <x:c r="K71" s="37">
        <x:f>J71/C71</x:f>
        <x:v>0</x:v>
      </x:c>
      <x:c r="L71" s="25">
        <x:f>IF(J71&lt;M71,119,"")</x:f>
        <x:v>119</x:v>
      </x:c>
      <x:c r="M71" s="34">
        <x:f>P32*C71</x:f>
        <x:v>17</x:v>
      </x:c>
      <x:c r="N71" s="35">
        <x:f>J71-M71</x:f>
        <x:v>-17</x:v>
      </x:c>
    </x:row>
    <x:row r="72" spans="1:14" s="8" customFormat="1" ht="18.75" customHeight="1">
      <x:c r="A72" s="11" t="s">
        <x:v>221</x:v>
      </x:c>
      <x:c r="B72" s="9" t="s">
        <x:v>216</x:v>
      </x:c>
      <x:c r="C72" s="9">
        <x:v>1</x:v>
      </x:c>
      <x:c r="D72" s="14" t="s">
        <x:v>271</x:v>
      </x:c>
      <x:c r="E72" s="9" t="s">
        <x:v>278</x:v>
      </x:c>
      <x:c r="F72" s="38"/>
      <x:c r="G72" s="62">
        <x:f>H33*C72</x:f>
        <x:v>0</x:v>
      </x:c>
      <x:c r="H72" s="9"/>
      <x:c r="I72" s="9"/>
      <x:c r="J72" s="36">
        <x:f>F72+I72-G72-H72</x:f>
        <x:v>0</x:v>
      </x:c>
      <x:c r="K72" s="37">
        <x:f>J72/C72</x:f>
        <x:v>0</x:v>
      </x:c>
      <x:c r="L72" s="25" t="str">
        <x:f>IF(J72&lt;M72,119,"")</x:f>
        <x:v/>
      </x:c>
      <x:c r="M72" s="34">
        <x:f>P33*C72</x:f>
        <x:v>0</x:v>
      </x:c>
      <x:c r="N72" s="35">
        <x:f>J72-M72</x:f>
        <x:v>0</x:v>
      </x:c>
    </x:row>
    <x:row r="73" spans="1:14" s="8" customFormat="1" ht="18.75" customHeight="1">
      <x:c r="A73" s="11" t="s">
        <x:v>221</x:v>
      </x:c>
      <x:c r="B73" s="9" t="s">
        <x:v>181</x:v>
      </x:c>
      <x:c r="C73" s="9">
        <x:v>1</x:v>
      </x:c>
      <x:c r="D73" s="14" t="s">
        <x:v>4</x:v>
      </x:c>
      <x:c r="E73" s="9" t="s">
        <x:v>280</x:v>
      </x:c>
      <x:c r="F73" s="38"/>
      <x:c r="G73" s="62">
        <x:f>H34*C73</x:f>
        <x:v>0</x:v>
      </x:c>
      <x:c r="H73" s="9"/>
      <x:c r="I73" s="9"/>
      <x:c r="J73" s="36">
        <x:f>F73+I73-G73-H73</x:f>
        <x:v>0</x:v>
      </x:c>
      <x:c r="K73" s="37">
        <x:f>J73/C73</x:f>
        <x:v>0</x:v>
      </x:c>
      <x:c r="L73" s="25" t="str">
        <x:f>IF(J73&lt;M73,119,"")</x:f>
        <x:v/>
      </x:c>
      <x:c r="M73" s="34">
        <x:f>P34*C73</x:f>
        <x:v>0</x:v>
      </x:c>
      <x:c r="N73" s="35">
        <x:f>J73-M73</x:f>
        <x:v>0</x:v>
      </x:c>
    </x:row>
    <x:row r="74" spans="1:14" s="8" customFormat="1" ht="18.75" customHeight="1">
      <x:c r="A74" s="11" t="s">
        <x:v>221</x:v>
      </x:c>
      <x:c r="B74" s="9" t="s">
        <x:v>216</x:v>
      </x:c>
      <x:c r="C74" s="9">
        <x:v>1</x:v>
      </x:c>
      <x:c r="D74" s="14" t="s">
        <x:v>9</x:v>
      </x:c>
      <x:c r="E74" s="9" t="s">
        <x:v>280</x:v>
      </x:c>
      <x:c r="F74" s="38"/>
      <x:c r="G74" s="62">
        <x:f>H35*C74</x:f>
        <x:v>0</x:v>
      </x:c>
      <x:c r="H74" s="9"/>
      <x:c r="I74" s="9"/>
      <x:c r="J74" s="36">
        <x:f>F74+I74-G74-H74</x:f>
        <x:v>0</x:v>
      </x:c>
      <x:c r="K74" s="37">
        <x:f>J74/C74</x:f>
        <x:v>0</x:v>
      </x:c>
      <x:c r="L74" s="25" t="str">
        <x:f>IF(J74&lt;M74,119,"")</x:f>
        <x:v/>
      </x:c>
      <x:c r="M74" s="34">
        <x:f>P35*C74</x:f>
        <x:v>0</x:v>
      </x:c>
      <x:c r="N74" s="35">
        <x:f>J74-M74</x:f>
        <x:v>0</x:v>
      </x:c>
    </x:row>
    <x:row r="75" spans="1:14" s="8" customFormat="1" ht="18.75" customHeight="1">
      <x:c r="A75" s="11" t="s">
        <x:v>221</x:v>
      </x:c>
      <x:c r="B75" s="9" t="s">
        <x:v>181</x:v>
      </x:c>
      <x:c r="C75" s="9">
        <x:v>1</x:v>
      </x:c>
      <x:c r="D75" s="14" t="s">
        <x:v>244</x:v>
      </x:c>
      <x:c r="E75" s="9" t="s">
        <x:v>278</x:v>
      </x:c>
      <x:c r="F75" s="38"/>
      <x:c r="G75" s="62">
        <x:f>H36*C75</x:f>
        <x:v>0</x:v>
      </x:c>
      <x:c r="H75" s="9"/>
      <x:c r="I75" s="9"/>
      <x:c r="J75" s="36">
        <x:f>F75+I75-G75-H75</x:f>
        <x:v>0</x:v>
      </x:c>
      <x:c r="K75" s="37">
        <x:f>J75/C75</x:f>
        <x:v>0</x:v>
      </x:c>
      <x:c r="L75" s="25" t="str">
        <x:f>IF(J75&lt;M75,119,"")</x:f>
        <x:v/>
      </x:c>
      <x:c r="M75" s="34">
        <x:f>P36*C75</x:f>
        <x:v>0</x:v>
      </x:c>
      <x:c r="N75" s="35">
        <x:f>J75-M75</x:f>
        <x:v>0</x:v>
      </x:c>
    </x:row>
    <x:row r="76" spans="1:14" s="8" customFormat="1" ht="18.75" customHeight="1">
      <x:c r="A76" s="11" t="s">
        <x:v>221</x:v>
      </x:c>
      <x:c r="B76" s="9" t="s">
        <x:v>181</x:v>
      </x:c>
      <x:c r="C76" s="9">
        <x:v>1</x:v>
      </x:c>
      <x:c r="D76" s="14" t="s">
        <x:v>247</x:v>
      </x:c>
      <x:c r="E76" s="9" t="s">
        <x:v>278</x:v>
      </x:c>
      <x:c r="F76" s="38"/>
      <x:c r="G76" s="62">
        <x:f>H37*C76</x:f>
        <x:v>0</x:v>
      </x:c>
      <x:c r="H76" s="9"/>
      <x:c r="I76" s="9"/>
      <x:c r="J76" s="36">
        <x:f>F76+I76-G76-H76</x:f>
        <x:v>0</x:v>
      </x:c>
      <x:c r="K76" s="37">
        <x:f>J76/C76</x:f>
        <x:v>0</x:v>
      </x:c>
      <x:c r="L76" s="25" t="str">
        <x:f>IF(J76&lt;M76,119,"")</x:f>
        <x:v/>
      </x:c>
      <x:c r="M76" s="34">
        <x:f>P37*C76</x:f>
        <x:v>0</x:v>
      </x:c>
      <x:c r="N76" s="35">
        <x:f>J76-M76</x:f>
        <x:v>0</x:v>
      </x:c>
    </x:row>
    <x:row r="77" spans="1:14" s="8" customFormat="1" ht="18.75" customHeight="1">
      <x:c r="A77" s="11" t="s">
        <x:v>221</x:v>
      </x:c>
      <x:c r="B77" s="9" t="s">
        <x:v>216</x:v>
      </x:c>
      <x:c r="C77" s="9">
        <x:v>1</x:v>
      </x:c>
      <x:c r="D77" s="14" t="s">
        <x:v>22</x:v>
      </x:c>
      <x:c r="E77" s="9" t="s">
        <x:v>278</x:v>
      </x:c>
      <x:c r="F77" s="38"/>
      <x:c r="G77" s="62">
        <x:f>H38*C77</x:f>
        <x:v>0</x:v>
      </x:c>
      <x:c r="H77" s="9"/>
      <x:c r="I77" s="9"/>
      <x:c r="J77" s="36">
        <x:f>F77+I77-G77-H77</x:f>
        <x:v>0</x:v>
      </x:c>
      <x:c r="K77" s="37">
        <x:f>J77/C77</x:f>
        <x:v>0</x:v>
      </x:c>
      <x:c r="L77" s="25" t="str">
        <x:f>IF(J77&lt;M77,119,"")</x:f>
        <x:v/>
      </x:c>
      <x:c r="M77" s="34">
        <x:f>P38*C77</x:f>
        <x:v>0</x:v>
      </x:c>
      <x:c r="N77" s="35">
        <x:f>J77-M77</x:f>
        <x:v>0</x:v>
      </x:c>
    </x:row>
    <x:row r="78" spans="1:14" s="8" customFormat="1" ht="18.75" customHeight="1">
      <x:c r="A78" s="11" t="s">
        <x:v>221</x:v>
      </x:c>
      <x:c r="B78" s="9" t="s">
        <x:v>216</x:v>
      </x:c>
      <x:c r="C78" s="9">
        <x:v>1</x:v>
      </x:c>
      <x:c r="D78" s="14" t="s">
        <x:v>96</x:v>
      </x:c>
      <x:c r="E78" s="9" t="s">
        <x:v>278</x:v>
      </x:c>
      <x:c r="F78" s="38"/>
      <x:c r="G78" s="62">
        <x:f>H39*C78</x:f>
        <x:v>0</x:v>
      </x:c>
      <x:c r="H78" s="9"/>
      <x:c r="I78" s="9"/>
      <x:c r="J78" s="36">
        <x:f>F78+I78-G78-H78</x:f>
        <x:v>0</x:v>
      </x:c>
      <x:c r="K78" s="37">
        <x:f>J78/C78</x:f>
        <x:v>0</x:v>
      </x:c>
      <x:c r="L78" s="25" t="str">
        <x:f>IF(J78&lt;M78,119,"")</x:f>
        <x:v/>
      </x:c>
      <x:c r="M78" s="34">
        <x:f>P39*C78</x:f>
        <x:v>0</x:v>
      </x:c>
      <x:c r="N78" s="35">
        <x:f>J78-M78</x:f>
        <x:v>0</x:v>
      </x:c>
    </x:row>
    <x:row r="79" spans="1:14" s="8" customFormat="1" ht="18.75" customHeight="1">
      <x:c r="A79" s="11" t="s">
        <x:v>221</x:v>
      </x:c>
      <x:c r="B79" s="9" t="s">
        <x:v>137</x:v>
      </x:c>
      <x:c r="C79" s="9">
        <x:v>1</x:v>
      </x:c>
      <x:c r="D79" s="14" t="s">
        <x:v>83</x:v>
      </x:c>
      <x:c r="E79" s="9"/>
      <x:c r="F79" s="38"/>
      <x:c r="G79" s="38">
        <x:f>J6*C79</x:f>
        <x:v>0</x:v>
      </x:c>
      <x:c r="H79" s="9"/>
      <x:c r="I79" s="9"/>
      <x:c r="J79" s="36">
        <x:f>F79+I79-G79-H79</x:f>
        <x:v>0</x:v>
      </x:c>
      <x:c r="K79" s="37">
        <x:f>J79/C79</x:f>
        <x:v>0</x:v>
      </x:c>
      <x:c r="L79" s="25">
        <x:f>IF(J79&lt;M79,119,"")</x:f>
        <x:v>119</x:v>
      </x:c>
      <x:c r="M79" s="34">
        <x:f>R6*C79</x:f>
        <x:v>13</x:v>
      </x:c>
      <x:c r="N79" s="35">
        <x:f>J79-M79</x:f>
        <x:v>-13</x:v>
      </x:c>
    </x:row>
    <x:row r="80" spans="1:14" s="8" customFormat="1" ht="18.75" customHeight="1">
      <x:c r="A80" s="11" t="s">
        <x:v>221</x:v>
      </x:c>
      <x:c r="B80" s="9" t="s">
        <x:v>137</x:v>
      </x:c>
      <x:c r="C80" s="9">
        <x:v>1</x:v>
      </x:c>
      <x:c r="D80" s="14" t="s">
        <x:v>41</x:v>
      </x:c>
      <x:c r="E80" s="9"/>
      <x:c r="F80" s="38"/>
      <x:c r="G80" s="38">
        <x:f>J7*C80</x:f>
        <x:v>0</x:v>
      </x:c>
      <x:c r="H80" s="9"/>
      <x:c r="I80" s="9"/>
      <x:c r="J80" s="36">
        <x:f>F80+I80-G80-H80</x:f>
        <x:v>0</x:v>
      </x:c>
      <x:c r="K80" s="37">
        <x:f>J80/C80</x:f>
        <x:v>0</x:v>
      </x:c>
      <x:c r="L80" s="25" t="str">
        <x:f>IF(J80&lt;M80,119,"")</x:f>
        <x:v/>
      </x:c>
      <x:c r="M80" s="34">
        <x:f>R7*C80</x:f>
        <x:v>0</x:v>
      </x:c>
      <x:c r="N80" s="35">
        <x:f>J80-M80</x:f>
        <x:v>0</x:v>
      </x:c>
    </x:row>
    <x:row r="81" spans="1:14" s="8" customFormat="1" ht="18.75" customHeight="1">
      <x:c r="A81" s="11" t="s">
        <x:v>221</x:v>
      </x:c>
      <x:c r="B81" s="9" t="s">
        <x:v>219</x:v>
      </x:c>
      <x:c r="C81" s="9">
        <x:v>1</x:v>
      </x:c>
      <x:c r="D81" s="14" t="s">
        <x:v>47</x:v>
      </x:c>
      <x:c r="E81" s="9"/>
      <x:c r="F81" s="38"/>
      <x:c r="G81" s="38">
        <x:f>J8*C81</x:f>
        <x:v>0</x:v>
      </x:c>
      <x:c r="H81" s="9"/>
      <x:c r="I81" s="9"/>
      <x:c r="J81" s="36">
        <x:f>F81+I81-G81-H81</x:f>
        <x:v>0</x:v>
      </x:c>
      <x:c r="K81" s="37">
        <x:f>J81/C81</x:f>
        <x:v>0</x:v>
      </x:c>
      <x:c r="L81" s="25">
        <x:f>IF(J81&lt;M81,119,"")</x:f>
        <x:v>119</x:v>
      </x:c>
      <x:c r="M81" s="34">
        <x:f>R8*C81</x:f>
        <x:v>10</x:v>
      </x:c>
      <x:c r="N81" s="35">
        <x:f>J81-M81</x:f>
        <x:v>-10</x:v>
      </x:c>
    </x:row>
    <x:row r="82" spans="1:14" s="8" customFormat="1" ht="18.75" customHeight="1">
      <x:c r="A82" s="11" t="s">
        <x:v>221</x:v>
      </x:c>
      <x:c r="B82" s="9" t="s">
        <x:v>219</x:v>
      </x:c>
      <x:c r="C82" s="9">
        <x:v>1</x:v>
      </x:c>
      <x:c r="D82" s="14" t="s">
        <x:v>73</x:v>
      </x:c>
      <x:c r="E82" s="9"/>
      <x:c r="F82" s="38"/>
      <x:c r="G82" s="38">
        <x:f>J9*C82</x:f>
        <x:v>0</x:v>
      </x:c>
      <x:c r="H82" s="9"/>
      <x:c r="I82" s="9"/>
      <x:c r="J82" s="36">
        <x:f>F82+I82-G82-H82</x:f>
        <x:v>0</x:v>
      </x:c>
      <x:c r="K82" s="37">
        <x:f>J82/C82</x:f>
        <x:v>0</x:v>
      </x:c>
      <x:c r="L82" s="25">
        <x:f>IF(J82&lt;M82,119,"")</x:f>
        <x:v>119</x:v>
      </x:c>
      <x:c r="M82" s="34">
        <x:f>R9*C82</x:f>
        <x:v>10</x:v>
      </x:c>
      <x:c r="N82" s="35">
        <x:f>J82-M82</x:f>
        <x:v>-10</x:v>
      </x:c>
    </x:row>
    <x:row r="83" spans="1:14" s="8" customFormat="1" ht="18.75" customHeight="1">
      <x:c r="A83" s="11" t="s">
        <x:v>223</x:v>
      </x:c>
      <x:c r="B83" s="9" t="s">
        <x:v>181</x:v>
      </x:c>
      <x:c r="C83" s="9">
        <x:v>1</x:v>
      </x:c>
      <x:c r="D83" s="14" t="s">
        <x:v>23</x:v>
      </x:c>
      <x:c r="E83" s="9" t="s">
        <x:v>278</x:v>
      </x:c>
      <x:c r="F83" s="38"/>
      <x:c r="G83" s="38">
        <x:f>H4*C83</x:f>
        <x:v>0</x:v>
      </x:c>
      <x:c r="H83" s="9"/>
      <x:c r="I83" s="9"/>
      <x:c r="J83" s="36">
        <x:f>F83+I83-G83-H83</x:f>
        <x:v>0</x:v>
      </x:c>
      <x:c r="K83" s="37">
        <x:f>J83/C83</x:f>
        <x:v>0</x:v>
      </x:c>
      <x:c r="L83" s="25" t="str">
        <x:f>IF(J83&lt;M83,119,"")</x:f>
        <x:v/>
      </x:c>
      <x:c r="M83" s="34">
        <x:f>P4*C83</x:f>
        <x:v>0</x:v>
      </x:c>
      <x:c r="N83" s="35">
        <x:f>J83-M83</x:f>
        <x:v>0</x:v>
      </x:c>
    </x:row>
    <x:row r="84" spans="1:14" s="8" customFormat="1" ht="18.75" customHeight="1">
      <x:c r="A84" s="11" t="s">
        <x:v>223</x:v>
      </x:c>
      <x:c r="B84" s="9" t="s">
        <x:v>181</x:v>
      </x:c>
      <x:c r="C84" s="9">
        <x:v>1</x:v>
      </x:c>
      <x:c r="D84" s="14" t="s">
        <x:v>94</x:v>
      </x:c>
      <x:c r="E84" s="9" t="s">
        <x:v>278</x:v>
      </x:c>
      <x:c r="F84" s="38"/>
      <x:c r="G84" s="38">
        <x:f>H5*C84</x:f>
        <x:v>0</x:v>
      </x:c>
      <x:c r="H84" s="9"/>
      <x:c r="I84" s="9"/>
      <x:c r="J84" s="36">
        <x:f>F84+I84-G84-H84</x:f>
        <x:v>0</x:v>
      </x:c>
      <x:c r="K84" s="37">
        <x:f>J84/C84</x:f>
        <x:v>0</x:v>
      </x:c>
      <x:c r="L84" s="25">
        <x:f>IF(J84&lt;M84,119,"")</x:f>
        <x:v>119</x:v>
      </x:c>
      <x:c r="M84" s="34">
        <x:f>P5*C84</x:f>
        <x:v>6</x:v>
      </x:c>
      <x:c r="N84" s="35">
        <x:f>J84-M84</x:f>
        <x:v>-6</x:v>
      </x:c>
    </x:row>
    <x:row r="85" spans="1:14" s="8" customFormat="1" ht="18.75" customHeight="1">
      <x:c r="A85" s="11" t="s">
        <x:v>223</x:v>
      </x:c>
      <x:c r="B85" s="9" t="s">
        <x:v>181</x:v>
      </x:c>
      <x:c r="C85" s="9">
        <x:v>1</x:v>
      </x:c>
      <x:c r="D85" s="14" t="s">
        <x:v>27</x:v>
      </x:c>
      <x:c r="E85" s="9" t="s">
        <x:v>278</x:v>
      </x:c>
      <x:c r="F85" s="38"/>
      <x:c r="G85" s="38">
        <x:f>H6*C85</x:f>
        <x:v>0</x:v>
      </x:c>
      <x:c r="H85" s="9"/>
      <x:c r="I85" s="9"/>
      <x:c r="J85" s="36">
        <x:f>F85+I85-G85-H85</x:f>
        <x:v>0</x:v>
      </x:c>
      <x:c r="K85" s="37">
        <x:f>J85/C85</x:f>
        <x:v>0</x:v>
      </x:c>
      <x:c r="L85" s="25" t="str">
        <x:f>IF(J85&lt;M85,119,"")</x:f>
        <x:v/>
      </x:c>
      <x:c r="M85" s="34">
        <x:f>P6*C85</x:f>
        <x:v>0</x:v>
      </x:c>
      <x:c r="N85" s="35">
        <x:f>J85-M85</x:f>
        <x:v>0</x:v>
      </x:c>
    </x:row>
    <x:row r="86" spans="1:14" s="8" customFormat="1" ht="18.75" customHeight="1">
      <x:c r="A86" s="11" t="s">
        <x:v>223</x:v>
      </x:c>
      <x:c r="B86" s="9" t="s">
        <x:v>181</x:v>
      </x:c>
      <x:c r="C86" s="9">
        <x:v>1</x:v>
      </x:c>
      <x:c r="D86" s="14" t="s">
        <x:v>36</x:v>
      </x:c>
      <x:c r="E86" s="9" t="s">
        <x:v>278</x:v>
      </x:c>
      <x:c r="F86" s="38"/>
      <x:c r="G86" s="38">
        <x:f>H7*C86</x:f>
        <x:v>0</x:v>
      </x:c>
      <x:c r="H86" s="9"/>
      <x:c r="I86" s="9"/>
      <x:c r="J86" s="36">
        <x:f>F86+I86-G86-H86</x:f>
        <x:v>0</x:v>
      </x:c>
      <x:c r="K86" s="37">
        <x:f>J86/C86</x:f>
        <x:v>0</x:v>
      </x:c>
      <x:c r="L86" s="25" t="str">
        <x:f>IF(J86&lt;M86,119,"")</x:f>
        <x:v/>
      </x:c>
      <x:c r="M86" s="34">
        <x:f>P7*C86</x:f>
        <x:v>0</x:v>
      </x:c>
      <x:c r="N86" s="35">
        <x:f>J86-M86</x:f>
        <x:v>0</x:v>
      </x:c>
    </x:row>
    <x:row r="87" spans="1:14" s="8" customFormat="1" ht="18.75" customHeight="1">
      <x:c r="A87" s="11" t="s">
        <x:v>223</x:v>
      </x:c>
      <x:c r="B87" s="9" t="s">
        <x:v>181</x:v>
      </x:c>
      <x:c r="C87" s="9">
        <x:v>1</x:v>
      </x:c>
      <x:c r="D87" s="14" t="s">
        <x:v>55</x:v>
      </x:c>
      <x:c r="E87" s="9" t="s">
        <x:v>278</x:v>
      </x:c>
      <x:c r="F87" s="38"/>
      <x:c r="G87" s="38">
        <x:f>H8*C87</x:f>
        <x:v>0</x:v>
      </x:c>
      <x:c r="H87" s="9"/>
      <x:c r="I87" s="9"/>
      <x:c r="J87" s="36">
        <x:f>F87+I87-G87-H87</x:f>
        <x:v>0</x:v>
      </x:c>
      <x:c r="K87" s="37">
        <x:f>J87/C87</x:f>
        <x:v>0</x:v>
      </x:c>
      <x:c r="L87" s="25">
        <x:f>IF(J87&lt;M87,119,"")</x:f>
        <x:v>119</x:v>
      </x:c>
      <x:c r="M87" s="34">
        <x:f>P8*C87</x:f>
        <x:v>12</x:v>
      </x:c>
      <x:c r="N87" s="35">
        <x:f>J87-M87</x:f>
        <x:v>-12</x:v>
      </x:c>
    </x:row>
    <x:row r="88" spans="1:14" s="8" customFormat="1" ht="18.75" customHeight="1">
      <x:c r="A88" s="11" t="s">
        <x:v>223</x:v>
      </x:c>
      <x:c r="B88" s="9" t="s">
        <x:v>181</x:v>
      </x:c>
      <x:c r="C88" s="9">
        <x:v>1</x:v>
      </x:c>
      <x:c r="D88" s="14" t="s">
        <x:v>44</x:v>
      </x:c>
      <x:c r="E88" s="9" t="s">
        <x:v>278</x:v>
      </x:c>
      <x:c r="F88" s="38"/>
      <x:c r="G88" s="38">
        <x:f>H9*C88</x:f>
        <x:v>0</x:v>
      </x:c>
      <x:c r="H88" s="9"/>
      <x:c r="I88" s="9"/>
      <x:c r="J88" s="36">
        <x:f>F88+I88-G88-H88</x:f>
        <x:v>0</x:v>
      </x:c>
      <x:c r="K88" s="37">
        <x:f>J88/C88</x:f>
        <x:v>0</x:v>
      </x:c>
      <x:c r="L88" s="25">
        <x:f>IF(J88&lt;M88,119,"")</x:f>
        <x:v>119</x:v>
      </x:c>
      <x:c r="M88" s="34">
        <x:f>P9*C88</x:f>
        <x:v>6</x:v>
      </x:c>
      <x:c r="N88" s="35">
        <x:f>J88-M88</x:f>
        <x:v>-6</x:v>
      </x:c>
    </x:row>
    <x:row r="89" spans="1:14" s="8" customFormat="1" ht="18.75" customHeight="1">
      <x:c r="A89" s="11" t="s">
        <x:v>223</x:v>
      </x:c>
      <x:c r="B89" s="9" t="s">
        <x:v>181</x:v>
      </x:c>
      <x:c r="C89" s="9">
        <x:v>1</x:v>
      </x:c>
      <x:c r="D89" s="14" t="s">
        <x:v>255</x:v>
      </x:c>
      <x:c r="E89" s="9" t="s">
        <x:v>278</x:v>
      </x:c>
      <x:c r="F89" s="38"/>
      <x:c r="G89" s="38">
        <x:f>H10*C89</x:f>
        <x:v>0</x:v>
      </x:c>
      <x:c r="H89" s="9"/>
      <x:c r="I89" s="9"/>
      <x:c r="J89" s="36">
        <x:f>F89+I89-G89-H89</x:f>
        <x:v>0</x:v>
      </x:c>
      <x:c r="K89" s="37">
        <x:f>J89/C89</x:f>
        <x:v>0</x:v>
      </x:c>
      <x:c r="L89" s="25">
        <x:f>IF(J89&lt;M89,119,"")</x:f>
        <x:v>119</x:v>
      </x:c>
      <x:c r="M89" s="34">
        <x:f>P10*C89</x:f>
        <x:v>8</x:v>
      </x:c>
      <x:c r="N89" s="35">
        <x:f>J89-M89</x:f>
        <x:v>-8</x:v>
      </x:c>
    </x:row>
    <x:row r="90" spans="1:14" s="8" customFormat="1" ht="18.75" customHeight="1">
      <x:c r="A90" s="11" t="s">
        <x:v>223</x:v>
      </x:c>
      <x:c r="B90" s="9" t="s">
        <x:v>181</x:v>
      </x:c>
      <x:c r="C90" s="9">
        <x:v>1</x:v>
      </x:c>
      <x:c r="D90" s="14" t="s">
        <x:v>76</x:v>
      </x:c>
      <x:c r="E90" s="9" t="s">
        <x:v>278</x:v>
      </x:c>
      <x:c r="F90" s="38"/>
      <x:c r="G90" s="38">
        <x:f>H11*C90</x:f>
        <x:v>0</x:v>
      </x:c>
      <x:c r="H90" s="9"/>
      <x:c r="I90" s="9"/>
      <x:c r="J90" s="36">
        <x:f>F90+I90-G90-H90</x:f>
        <x:v>0</x:v>
      </x:c>
      <x:c r="K90" s="37">
        <x:f>J90/C90</x:f>
        <x:v>0</x:v>
      </x:c>
      <x:c r="L90" s="25" t="str">
        <x:f>IF(J90&lt;M90,119,"")</x:f>
        <x:v/>
      </x:c>
      <x:c r="M90" s="34">
        <x:f>P11*C90</x:f>
        <x:v>0</x:v>
      </x:c>
      <x:c r="N90" s="35">
        <x:f>J90-M90</x:f>
        <x:v>0</x:v>
      </x:c>
    </x:row>
    <x:row r="91" spans="1:14" s="8" customFormat="1" ht="18.75" customHeight="1">
      <x:c r="A91" s="11" t="s">
        <x:v>223</x:v>
      </x:c>
      <x:c r="B91" s="9" t="s">
        <x:v>181</x:v>
      </x:c>
      <x:c r="C91" s="9">
        <x:v>1</x:v>
      </x:c>
      <x:c r="D91" s="14" t="s">
        <x:v>33</x:v>
      </x:c>
      <x:c r="E91" s="9" t="s">
        <x:v>278</x:v>
      </x:c>
      <x:c r="F91" s="38"/>
      <x:c r="G91" s="38">
        <x:f>H12*C91</x:f>
        <x:v>0</x:v>
      </x:c>
      <x:c r="H91" s="9"/>
      <x:c r="I91" s="9"/>
      <x:c r="J91" s="36">
        <x:f>F91+I91-G91-H91</x:f>
        <x:v>0</x:v>
      </x:c>
      <x:c r="K91" s="37">
        <x:f>J91/C91</x:f>
        <x:v>0</x:v>
      </x:c>
      <x:c r="L91" s="25" t="str">
        <x:f>IF(J91&lt;M91,119,"")</x:f>
        <x:v/>
      </x:c>
      <x:c r="M91" s="34">
        <x:f>P12*C91</x:f>
        <x:v>0</x:v>
      </x:c>
      <x:c r="N91" s="35">
        <x:f>J91-M91</x:f>
        <x:v>0</x:v>
      </x:c>
    </x:row>
    <x:row r="92" spans="1:14" s="8" customFormat="1" ht="18.75" customHeight="1">
      <x:c r="A92" s="11" t="s">
        <x:v>223</x:v>
      </x:c>
      <x:c r="B92" s="9" t="s">
        <x:v>181</x:v>
      </x:c>
      <x:c r="C92" s="9">
        <x:v>1</x:v>
      </x:c>
      <x:c r="D92" s="14" t="s">
        <x:v>261</x:v>
      </x:c>
      <x:c r="E92" s="9" t="s">
        <x:v>278</x:v>
      </x:c>
      <x:c r="F92" s="38"/>
      <x:c r="G92" s="38">
        <x:f>H13*C92</x:f>
        <x:v>0</x:v>
      </x:c>
      <x:c r="H92" s="9"/>
      <x:c r="I92" s="9"/>
      <x:c r="J92" s="36">
        <x:f>F92+I92-G92-H92</x:f>
        <x:v>0</x:v>
      </x:c>
      <x:c r="K92" s="37">
        <x:f>J92/C92</x:f>
        <x:v>0</x:v>
      </x:c>
      <x:c r="L92" s="25" t="str">
        <x:f>IF(J92&lt;M92,119,"")</x:f>
        <x:v/>
      </x:c>
      <x:c r="M92" s="34">
        <x:f>P13*C92</x:f>
        <x:v>0</x:v>
      </x:c>
      <x:c r="N92" s="35">
        <x:f>J92-M92</x:f>
        <x:v>0</x:v>
      </x:c>
    </x:row>
    <x:row r="93" spans="1:14" s="8" customFormat="1" ht="18.75" customHeight="1">
      <x:c r="A93" s="11" t="s">
        <x:v>223</x:v>
      </x:c>
      <x:c r="B93" s="9" t="s">
        <x:v>181</x:v>
      </x:c>
      <x:c r="C93" s="9">
        <x:v>1</x:v>
      </x:c>
      <x:c r="D93" s="14" t="s">
        <x:v>266</x:v>
      </x:c>
      <x:c r="E93" s="9" t="s">
        <x:v>278</x:v>
      </x:c>
      <x:c r="F93" s="38"/>
      <x:c r="G93" s="38">
        <x:f>H14*C93</x:f>
        <x:v>0</x:v>
      </x:c>
      <x:c r="H93" s="9"/>
      <x:c r="I93" s="9"/>
      <x:c r="J93" s="36">
        <x:f>F93+I93-G93-H93</x:f>
        <x:v>0</x:v>
      </x:c>
      <x:c r="K93" s="37">
        <x:f>J93/C93</x:f>
        <x:v>0</x:v>
      </x:c>
      <x:c r="L93" s="25">
        <x:f>IF(J93&lt;M93,119,"")</x:f>
        <x:v>119</x:v>
      </x:c>
      <x:c r="M93" s="34">
        <x:f>P14*C93</x:f>
        <x:v>28</x:v>
      </x:c>
      <x:c r="N93" s="35">
        <x:f>J93-M93</x:f>
        <x:v>-28</x:v>
      </x:c>
    </x:row>
    <x:row r="94" spans="1:14" s="8" customFormat="1" ht="18.75" customHeight="1">
      <x:c r="A94" s="11" t="s">
        <x:v>223</x:v>
      </x:c>
      <x:c r="B94" s="9" t="s">
        <x:v>216</x:v>
      </x:c>
      <x:c r="C94" s="9">
        <x:v>1</x:v>
      </x:c>
      <x:c r="D94" s="14" t="s">
        <x:v>259</x:v>
      </x:c>
      <x:c r="E94" s="9" t="s">
        <x:v>278</x:v>
      </x:c>
      <x:c r="F94" s="38"/>
      <x:c r="G94" s="38">
        <x:f>H15*C94</x:f>
        <x:v>0</x:v>
      </x:c>
      <x:c r="H94" s="9"/>
      <x:c r="I94" s="9"/>
      <x:c r="J94" s="36">
        <x:f>F94+I94-G94-H94</x:f>
        <x:v>0</x:v>
      </x:c>
      <x:c r="K94" s="37">
        <x:f>J94/C94</x:f>
        <x:v>0</x:v>
      </x:c>
      <x:c r="L94" s="25" t="str">
        <x:f>IF(J94&lt;M94,119,"")</x:f>
        <x:v/>
      </x:c>
      <x:c r="M94" s="34">
        <x:f>P15*C94</x:f>
        <x:v>0</x:v>
      </x:c>
      <x:c r="N94" s="35">
        <x:f>J94-M94</x:f>
        <x:v>0</x:v>
      </x:c>
    </x:row>
    <x:row r="95" spans="1:14" s="8" customFormat="1" ht="18.75" customHeight="1">
      <x:c r="A95" s="11" t="s">
        <x:v>223</x:v>
      </x:c>
      <x:c r="B95" s="9" t="s">
        <x:v>181</x:v>
      </x:c>
      <x:c r="C95" s="9">
        <x:v>1</x:v>
      </x:c>
      <x:c r="D95" s="14" t="s">
        <x:v>251</x:v>
      </x:c>
      <x:c r="E95" s="9" t="s">
        <x:v>278</x:v>
      </x:c>
      <x:c r="F95" s="38"/>
      <x:c r="G95" s="38">
        <x:f>H16*C95</x:f>
        <x:v>0</x:v>
      </x:c>
      <x:c r="H95" s="9"/>
      <x:c r="I95" s="9"/>
      <x:c r="J95" s="36">
        <x:f>F95+I95-G95-H95</x:f>
        <x:v>0</x:v>
      </x:c>
      <x:c r="K95" s="37">
        <x:f>J95/C95</x:f>
        <x:v>0</x:v>
      </x:c>
      <x:c r="L95" s="25" t="str">
        <x:f>IF(J95&lt;M95,119,"")</x:f>
        <x:v/>
      </x:c>
      <x:c r="M95" s="34">
        <x:f>P16*C95</x:f>
        <x:v>0</x:v>
      </x:c>
      <x:c r="N95" s="35">
        <x:f>J95-M95</x:f>
        <x:v>0</x:v>
      </x:c>
    </x:row>
    <x:row r="96" spans="1:14" s="8" customFormat="1" ht="18.75" customHeight="1">
      <x:c r="A96" s="11" t="s">
        <x:v>223</x:v>
      </x:c>
      <x:c r="B96" s="9" t="s">
        <x:v>216</x:v>
      </x:c>
      <x:c r="C96" s="9">
        <x:v>1</x:v>
      </x:c>
      <x:c r="D96" s="14" t="s">
        <x:v>270</x:v>
      </x:c>
      <x:c r="E96" s="9" t="s">
        <x:v>278</x:v>
      </x:c>
      <x:c r="F96" s="38"/>
      <x:c r="G96" s="38">
        <x:f>H17*C96</x:f>
        <x:v>0</x:v>
      </x:c>
      <x:c r="H96" s="9"/>
      <x:c r="I96" s="9"/>
      <x:c r="J96" s="36">
        <x:f>F96+I96-G96-H96</x:f>
        <x:v>0</x:v>
      </x:c>
      <x:c r="K96" s="37">
        <x:f>J96/C96</x:f>
        <x:v>0</x:v>
      </x:c>
      <x:c r="L96" s="25" t="str">
        <x:f>IF(J96&lt;M96,119,"")</x:f>
        <x:v/>
      </x:c>
      <x:c r="M96" s="34">
        <x:f>P17*C96</x:f>
        <x:v>0</x:v>
      </x:c>
      <x:c r="N96" s="35">
        <x:f>J96-M96</x:f>
        <x:v>0</x:v>
      </x:c>
    </x:row>
    <x:row r="97" spans="1:14" s="8" customFormat="1" ht="18.75" customHeight="1">
      <x:c r="A97" s="11" t="s">
        <x:v>223</x:v>
      </x:c>
      <x:c r="B97" s="9" t="s">
        <x:v>181</x:v>
      </x:c>
      <x:c r="C97" s="9">
        <x:v>1</x:v>
      </x:c>
      <x:c r="D97" s="14" t="s">
        <x:v>265</x:v>
      </x:c>
      <x:c r="E97" s="9" t="s">
        <x:v>278</x:v>
      </x:c>
      <x:c r="F97" s="38"/>
      <x:c r="G97" s="38">
        <x:f>H18*C97</x:f>
        <x:v>0</x:v>
      </x:c>
      <x:c r="H97" s="9"/>
      <x:c r="I97" s="9"/>
      <x:c r="J97" s="36">
        <x:f>F97+I97-G97-H97</x:f>
        <x:v>0</x:v>
      </x:c>
      <x:c r="K97" s="37">
        <x:f>J97/C97</x:f>
        <x:v>0</x:v>
      </x:c>
      <x:c r="L97" s="25">
        <x:f>IF(J97&lt;M97,119,"")</x:f>
        <x:v>119</x:v>
      </x:c>
      <x:c r="M97" s="34">
        <x:f>P18*C97</x:f>
        <x:v>4</x:v>
      </x:c>
      <x:c r="N97" s="35">
        <x:f>J97-M97</x:f>
        <x:v>-4</x:v>
      </x:c>
    </x:row>
    <x:row r="98" spans="1:14" s="8" customFormat="1" ht="18.75" customHeight="1">
      <x:c r="A98" s="11" t="s">
        <x:v>223</x:v>
      </x:c>
      <x:c r="B98" s="9" t="s">
        <x:v>181</x:v>
      </x:c>
      <x:c r="C98" s="9">
        <x:v>1</x:v>
      </x:c>
      <x:c r="D98" s="14" t="s">
        <x:v>252</x:v>
      </x:c>
      <x:c r="E98" s="9" t="s">
        <x:v>278</x:v>
      </x:c>
      <x:c r="F98" s="38"/>
      <x:c r="G98" s="38">
        <x:f>H19*C98</x:f>
        <x:v>0</x:v>
      </x:c>
      <x:c r="H98" s="9"/>
      <x:c r="I98" s="9"/>
      <x:c r="J98" s="36">
        <x:f>F98+I98-G98-H98</x:f>
        <x:v>0</x:v>
      </x:c>
      <x:c r="K98" s="37">
        <x:f>J98/C98</x:f>
        <x:v>0</x:v>
      </x:c>
      <x:c r="L98" s="25">
        <x:f>IF(J98&lt;M98,119,"")</x:f>
        <x:v>119</x:v>
      </x:c>
      <x:c r="M98" s="34">
        <x:f>P19*C98</x:f>
        <x:v>7</x:v>
      </x:c>
      <x:c r="N98" s="35">
        <x:f>J98-M98</x:f>
        <x:v>-7</x:v>
      </x:c>
    </x:row>
    <x:row r="99" spans="1:14" s="8" customFormat="1" ht="18.75" customHeight="1">
      <x:c r="A99" s="11" t="s">
        <x:v>223</x:v>
      </x:c>
      <x:c r="B99" s="9" t="s">
        <x:v>216</x:v>
      </x:c>
      <x:c r="C99" s="9">
        <x:v>1</x:v>
      </x:c>
      <x:c r="D99" s="14" t="s">
        <x:v>272</x:v>
      </x:c>
      <x:c r="E99" s="9" t="s">
        <x:v>278</x:v>
      </x:c>
      <x:c r="F99" s="38"/>
      <x:c r="G99" s="38">
        <x:f>H20*C99</x:f>
        <x:v>0</x:v>
      </x:c>
      <x:c r="H99" s="9"/>
      <x:c r="I99" s="9"/>
      <x:c r="J99" s="36">
        <x:f>F99+I99-G99-H99</x:f>
        <x:v>0</x:v>
      </x:c>
      <x:c r="K99" s="37">
        <x:f>J99/C99</x:f>
        <x:v>0</x:v>
      </x:c>
      <x:c r="L99" s="25" t="str">
        <x:f>IF(J99&lt;M99,119,"")</x:f>
        <x:v/>
      </x:c>
      <x:c r="M99" s="34">
        <x:f>P20*C99</x:f>
        <x:v>0</x:v>
      </x:c>
      <x:c r="N99" s="35">
        <x:f>J99-M99</x:f>
        <x:v>0</x:v>
      </x:c>
    </x:row>
    <x:row r="100" spans="1:14" s="8" customFormat="1" ht="18.75" customHeight="1">
      <x:c r="A100" s="11" t="s">
        <x:v>223</x:v>
      </x:c>
      <x:c r="B100" s="9" t="s">
        <x:v>181</x:v>
      </x:c>
      <x:c r="C100" s="9">
        <x:v>1</x:v>
      </x:c>
      <x:c r="D100" s="14" t="s">
        <x:v>16</x:v>
      </x:c>
      <x:c r="E100" s="9" t="s">
        <x:v>280</x:v>
      </x:c>
      <x:c r="F100" s="38"/>
      <x:c r="G100" s="38">
        <x:f>H21*C100</x:f>
        <x:v>0</x:v>
      </x:c>
      <x:c r="H100" s="9"/>
      <x:c r="I100" s="9"/>
      <x:c r="J100" s="36">
        <x:f>F100+I100-G100-H100</x:f>
        <x:v>0</x:v>
      </x:c>
      <x:c r="K100" s="37">
        <x:f>J100/C100</x:f>
        <x:v>0</x:v>
      </x:c>
      <x:c r="L100" s="25" t="str">
        <x:f>IF(J100&lt;M100,119,"")</x:f>
        <x:v/>
      </x:c>
      <x:c r="M100" s="34">
        <x:f>P21*C100</x:f>
        <x:v>0</x:v>
      </x:c>
      <x:c r="N100" s="35">
        <x:f>J100-M100</x:f>
        <x:v>0</x:v>
      </x:c>
    </x:row>
    <x:row r="101" spans="1:14" s="8" customFormat="1" ht="18.75" customHeight="1">
      <x:c r="A101" s="11" t="s">
        <x:v>223</x:v>
      </x:c>
      <x:c r="B101" s="9" t="s">
        <x:v>216</x:v>
      </x:c>
      <x:c r="C101" s="9">
        <x:v>1</x:v>
      </x:c>
      <x:c r="D101" s="14" t="s">
        <x:v>18</x:v>
      </x:c>
      <x:c r="E101" s="9" t="s">
        <x:v>280</x:v>
      </x:c>
      <x:c r="F101" s="38"/>
      <x:c r="G101" s="38">
        <x:f>H22*C101</x:f>
        <x:v>0</x:v>
      </x:c>
      <x:c r="H101" s="9"/>
      <x:c r="I101" s="9"/>
      <x:c r="J101" s="36">
        <x:f>F101+I101-G101-H101</x:f>
        <x:v>0</x:v>
      </x:c>
      <x:c r="K101" s="37">
        <x:f>J101/C101</x:f>
        <x:v>0</x:v>
      </x:c>
      <x:c r="L101" s="25" t="str">
        <x:f>IF(J101&lt;M101,119,"")</x:f>
        <x:v/>
      </x:c>
      <x:c r="M101" s="34">
        <x:f>P22*C101</x:f>
        <x:v>0</x:v>
      </x:c>
      <x:c r="N101" s="35">
        <x:f>J101-M101</x:f>
        <x:v>0</x:v>
      </x:c>
    </x:row>
    <x:row r="102" spans="1:14" s="8" customFormat="1" ht="18.75" customHeight="1">
      <x:c r="A102" s="11" t="s">
        <x:v>223</x:v>
      </x:c>
      <x:c r="B102" s="9" t="s">
        <x:v>181</x:v>
      </x:c>
      <x:c r="C102" s="9">
        <x:v>1</x:v>
      </x:c>
      <x:c r="D102" s="14" t="s">
        <x:v>101</x:v>
      </x:c>
      <x:c r="E102" s="9" t="s">
        <x:v>278</x:v>
      </x:c>
      <x:c r="F102" s="38"/>
      <x:c r="G102" s="38">
        <x:f>H23*C102</x:f>
        <x:v>0</x:v>
      </x:c>
      <x:c r="H102" s="9"/>
      <x:c r="I102" s="9"/>
      <x:c r="J102" s="36">
        <x:f>F102+I102-G102-H102</x:f>
        <x:v>0</x:v>
      </x:c>
      <x:c r="K102" s="37">
        <x:f>J102/C102</x:f>
        <x:v>0</x:v>
      </x:c>
      <x:c r="L102" s="25">
        <x:f>IF(J102&lt;M102,119,"")</x:f>
        <x:v>119</x:v>
      </x:c>
      <x:c r="M102" s="34">
        <x:f>P23*C102</x:f>
        <x:v>4</x:v>
      </x:c>
      <x:c r="N102" s="35">
        <x:f>J102-M102</x:f>
        <x:v>-4</x:v>
      </x:c>
    </x:row>
    <x:row r="103" spans="1:14" s="8" customFormat="1" ht="18.75" customHeight="1">
      <x:c r="A103" s="11" t="s">
        <x:v>223</x:v>
      </x:c>
      <x:c r="B103" s="9" t="s">
        <x:v>181</x:v>
      </x:c>
      <x:c r="C103" s="9">
        <x:v>1</x:v>
      </x:c>
      <x:c r="D103" s="14" t="s">
        <x:v>267</x:v>
      </x:c>
      <x:c r="E103" s="9" t="s">
        <x:v>278</x:v>
      </x:c>
      <x:c r="F103" s="38"/>
      <x:c r="G103" s="38">
        <x:f>H24*C103</x:f>
        <x:v>0</x:v>
      </x:c>
      <x:c r="H103" s="9"/>
      <x:c r="I103" s="9"/>
      <x:c r="J103" s="36">
        <x:f>F103+I103-G103-H103</x:f>
        <x:v>0</x:v>
      </x:c>
      <x:c r="K103" s="37">
        <x:f>J103/C103</x:f>
        <x:v>0</x:v>
      </x:c>
      <x:c r="L103" s="25">
        <x:f>IF(J103&lt;M103,119,"")</x:f>
        <x:v>119</x:v>
      </x:c>
      <x:c r="M103" s="34">
        <x:f>P24*C103</x:f>
        <x:v>5</x:v>
      </x:c>
      <x:c r="N103" s="35">
        <x:f>J103-M103</x:f>
        <x:v>-5</x:v>
      </x:c>
    </x:row>
    <x:row r="104" spans="1:14" s="8" customFormat="1" ht="18.75" customHeight="1">
      <x:c r="A104" s="11" t="s">
        <x:v>223</x:v>
      </x:c>
      <x:c r="B104" s="9" t="s">
        <x:v>216</x:v>
      </x:c>
      <x:c r="C104" s="9">
        <x:v>1</x:v>
      </x:c>
      <x:c r="D104" s="14" t="s">
        <x:v>257</x:v>
      </x:c>
      <x:c r="E104" s="9" t="s">
        <x:v>278</x:v>
      </x:c>
      <x:c r="F104" s="38"/>
      <x:c r="G104" s="38">
        <x:f>H25*C104</x:f>
        <x:v>0</x:v>
      </x:c>
      <x:c r="H104" s="9"/>
      <x:c r="I104" s="9"/>
      <x:c r="J104" s="36">
        <x:f>F104+I104-G104-H104</x:f>
        <x:v>0</x:v>
      </x:c>
      <x:c r="K104" s="37">
        <x:f>J104/C104</x:f>
        <x:v>0</x:v>
      </x:c>
      <x:c r="L104" s="25" t="str">
        <x:f>IF(J104&lt;M104,119,"")</x:f>
        <x:v/>
      </x:c>
      <x:c r="M104" s="34">
        <x:f>P25*C104</x:f>
        <x:v>0</x:v>
      </x:c>
      <x:c r="N104" s="35">
        <x:f>J104-M104</x:f>
        <x:v>0</x:v>
      </x:c>
    </x:row>
    <x:row r="105" spans="1:14" s="8" customFormat="1" ht="18.75" customHeight="1">
      <x:c r="A105" s="11" t="s">
        <x:v>223</x:v>
      </x:c>
      <x:c r="B105" s="9" t="s">
        <x:v>181</x:v>
      </x:c>
      <x:c r="C105" s="9">
        <x:v>1</x:v>
      </x:c>
      <x:c r="D105" s="14" t="s">
        <x:v>7</x:v>
      </x:c>
      <x:c r="E105" s="9" t="s">
        <x:v>280</x:v>
      </x:c>
      <x:c r="F105" s="38"/>
      <x:c r="G105" s="38">
        <x:f>H26*C105</x:f>
        <x:v>0</x:v>
      </x:c>
      <x:c r="H105" s="9"/>
      <x:c r="I105" s="9"/>
      <x:c r="J105" s="36">
        <x:f>F105+I105-G105-H105</x:f>
        <x:v>0</x:v>
      </x:c>
      <x:c r="K105" s="37">
        <x:f>J105/C105</x:f>
        <x:v>0</x:v>
      </x:c>
      <x:c r="L105" s="25" t="str">
        <x:f>IF(J105&lt;M105,119,"")</x:f>
        <x:v/>
      </x:c>
      <x:c r="M105" s="34">
        <x:f>P26*C105</x:f>
        <x:v>0</x:v>
      </x:c>
      <x:c r="N105" s="35">
        <x:f>J105-M105</x:f>
        <x:v>0</x:v>
      </x:c>
    </x:row>
    <x:row r="106" spans="1:14" s="8" customFormat="1" ht="18.75" customHeight="1">
      <x:c r="A106" s="11" t="s">
        <x:v>223</x:v>
      </x:c>
      <x:c r="B106" s="9" t="s">
        <x:v>216</x:v>
      </x:c>
      <x:c r="C106" s="9">
        <x:v>1</x:v>
      </x:c>
      <x:c r="D106" s="14" t="s">
        <x:v>15</x:v>
      </x:c>
      <x:c r="E106" s="9" t="s">
        <x:v>280</x:v>
      </x:c>
      <x:c r="F106" s="38"/>
      <x:c r="G106" s="38">
        <x:f>H27*C106</x:f>
        <x:v>0</x:v>
      </x:c>
      <x:c r="H106" s="9"/>
      <x:c r="I106" s="9"/>
      <x:c r="J106" s="36">
        <x:f>F106+I106-G106-H106</x:f>
        <x:v>0</x:v>
      </x:c>
      <x:c r="K106" s="37">
        <x:f>J106/C106</x:f>
        <x:v>0</x:v>
      </x:c>
      <x:c r="L106" s="25" t="str">
        <x:f>IF(J106&lt;M106,119,"")</x:f>
        <x:v/>
      </x:c>
      <x:c r="M106" s="34">
        <x:f>P27*C106</x:f>
        <x:v>0</x:v>
      </x:c>
      <x:c r="N106" s="35">
        <x:f>J106-M106</x:f>
        <x:v>0</x:v>
      </x:c>
    </x:row>
    <x:row r="107" spans="1:14" s="8" customFormat="1" ht="18.75" customHeight="1">
      <x:c r="A107" s="11" t="s">
        <x:v>223</x:v>
      </x:c>
      <x:c r="B107" s="9" t="s">
        <x:v>181</x:v>
      </x:c>
      <x:c r="C107" s="9">
        <x:v>1</x:v>
      </x:c>
      <x:c r="D107" s="14" t="s">
        <x:v>264</x:v>
      </x:c>
      <x:c r="E107" s="9" t="s">
        <x:v>278</x:v>
      </x:c>
      <x:c r="F107" s="38"/>
      <x:c r="G107" s="38">
        <x:f>H28*C107</x:f>
        <x:v>0</x:v>
      </x:c>
      <x:c r="H107" s="9"/>
      <x:c r="I107" s="9"/>
      <x:c r="J107" s="36">
        <x:f>F107+I107-G107-H107</x:f>
        <x:v>0</x:v>
      </x:c>
      <x:c r="K107" s="37">
        <x:f>J107/C107</x:f>
        <x:v>0</x:v>
      </x:c>
      <x:c r="L107" s="25">
        <x:f>IF(J107&lt;M107,119,"")</x:f>
        <x:v>119</x:v>
      </x:c>
      <x:c r="M107" s="34">
        <x:f>P28*C107</x:f>
        <x:v>3</x:v>
      </x:c>
      <x:c r="N107" s="35">
        <x:f>J107-M107</x:f>
        <x:v>-3</x:v>
      </x:c>
    </x:row>
    <x:row r="108" spans="1:14" s="8" customFormat="1" ht="18.75" customHeight="1">
      <x:c r="A108" s="11" t="s">
        <x:v>223</x:v>
      </x:c>
      <x:c r="B108" s="9" t="s">
        <x:v>216</x:v>
      </x:c>
      <x:c r="C108" s="9">
        <x:v>1</x:v>
      </x:c>
      <x:c r="D108" s="14" t="s">
        <x:v>269</x:v>
      </x:c>
      <x:c r="E108" s="9" t="s">
        <x:v>278</x:v>
      </x:c>
      <x:c r="F108" s="38"/>
      <x:c r="G108" s="38">
        <x:f>H29*C108</x:f>
        <x:v>0</x:v>
      </x:c>
      <x:c r="H108" s="9"/>
      <x:c r="I108" s="9"/>
      <x:c r="J108" s="36">
        <x:f>F108+I108-G108-H108</x:f>
        <x:v>0</x:v>
      </x:c>
      <x:c r="K108" s="37">
        <x:f>J108/C108</x:f>
        <x:v>0</x:v>
      </x:c>
      <x:c r="L108" s="25" t="str">
        <x:f>IF(J108&lt;M108,119,"")</x:f>
        <x:v/>
      </x:c>
      <x:c r="M108" s="34">
        <x:f>P29*C108</x:f>
        <x:v>0</x:v>
      </x:c>
      <x:c r="N108" s="35">
        <x:f>J108-M108</x:f>
        <x:v>0</x:v>
      </x:c>
    </x:row>
    <x:row r="109" spans="1:14" s="8" customFormat="1" ht="18.75" customHeight="1">
      <x:c r="A109" s="11" t="s">
        <x:v>223</x:v>
      </x:c>
      <x:c r="B109" s="9" t="s">
        <x:v>181</x:v>
      </x:c>
      <x:c r="C109" s="9">
        <x:v>1</x:v>
      </x:c>
      <x:c r="D109" s="14" t="s">
        <x:v>3</x:v>
      </x:c>
      <x:c r="E109" s="9" t="s">
        <x:v>280</x:v>
      </x:c>
      <x:c r="F109" s="38"/>
      <x:c r="G109" s="38">
        <x:f>H30*C109</x:f>
        <x:v>0</x:v>
      </x:c>
      <x:c r="H109" s="9"/>
      <x:c r="I109" s="9"/>
      <x:c r="J109" s="36">
        <x:f>F109+I109-G109-H109</x:f>
        <x:v>0</x:v>
      </x:c>
      <x:c r="K109" s="37">
        <x:f>J109/C109</x:f>
        <x:v>0</x:v>
      </x:c>
      <x:c r="L109" s="25" t="str">
        <x:f>IF(J109&lt;M109,119,"")</x:f>
        <x:v/>
      </x:c>
      <x:c r="M109" s="34">
        <x:f>P30*C109</x:f>
        <x:v>0</x:v>
      </x:c>
      <x:c r="N109" s="35">
        <x:f>J109-M109</x:f>
        <x:v>0</x:v>
      </x:c>
    </x:row>
    <x:row r="110" spans="1:14" s="8" customFormat="1" ht="18.75" customHeight="1">
      <x:c r="A110" s="11" t="s">
        <x:v>223</x:v>
      </x:c>
      <x:c r="B110" s="9" t="s">
        <x:v>216</x:v>
      </x:c>
      <x:c r="C110" s="9">
        <x:v>1</x:v>
      </x:c>
      <x:c r="D110" s="14" t="s">
        <x:v>5</x:v>
      </x:c>
      <x:c r="E110" s="9" t="s">
        <x:v>280</x:v>
      </x:c>
      <x:c r="F110" s="38"/>
      <x:c r="G110" s="38">
        <x:f>H31*C110</x:f>
        <x:v>0</x:v>
      </x:c>
      <x:c r="H110" s="9"/>
      <x:c r="I110" s="9"/>
      <x:c r="J110" s="36">
        <x:f>F110+I110-G110-H110</x:f>
        <x:v>0</x:v>
      </x:c>
      <x:c r="K110" s="37">
        <x:f>J110/C110</x:f>
        <x:v>0</x:v>
      </x:c>
      <x:c r="L110" s="25" t="str">
        <x:f>IF(J110&lt;M110,119,"")</x:f>
        <x:v/>
      </x:c>
      <x:c r="M110" s="34">
        <x:f>P31*C110</x:f>
        <x:v>0</x:v>
      </x:c>
      <x:c r="N110" s="35">
        <x:f>J110-M110</x:f>
        <x:v>0</x:v>
      </x:c>
    </x:row>
    <x:row r="111" spans="1:14" s="8" customFormat="1" ht="18.75" customHeight="1">
      <x:c r="A111" s="11" t="s">
        <x:v>223</x:v>
      </x:c>
      <x:c r="B111" s="9" t="s">
        <x:v>181</x:v>
      </x:c>
      <x:c r="C111" s="9">
        <x:v>1</x:v>
      </x:c>
      <x:c r="D111" s="14" t="s">
        <x:v>254</x:v>
      </x:c>
      <x:c r="E111" s="9" t="s">
        <x:v>278</x:v>
      </x:c>
      <x:c r="F111" s="38"/>
      <x:c r="G111" s="38">
        <x:f>H32*C111</x:f>
        <x:v>0</x:v>
      </x:c>
      <x:c r="H111" s="9"/>
      <x:c r="I111" s="9"/>
      <x:c r="J111" s="36">
        <x:f>F111+I111-G111-H111</x:f>
        <x:v>0</x:v>
      </x:c>
      <x:c r="K111" s="37">
        <x:f>J111/C111</x:f>
        <x:v>0</x:v>
      </x:c>
      <x:c r="L111" s="25">
        <x:f>IF(J111&lt;M111,119,"")</x:f>
        <x:v>119</x:v>
      </x:c>
      <x:c r="M111" s="34">
        <x:f>P32*C111</x:f>
        <x:v>17</x:v>
      </x:c>
      <x:c r="N111" s="35">
        <x:f>J111-M111</x:f>
        <x:v>-17</x:v>
      </x:c>
    </x:row>
    <x:row r="112" spans="1:14" s="8" customFormat="1" ht="18.75" customHeight="1">
      <x:c r="A112" s="11" t="s">
        <x:v>223</x:v>
      </x:c>
      <x:c r="B112" s="9" t="s">
        <x:v>216</x:v>
      </x:c>
      <x:c r="C112" s="9">
        <x:v>1</x:v>
      </x:c>
      <x:c r="D112" s="14" t="s">
        <x:v>271</x:v>
      </x:c>
      <x:c r="E112" s="9" t="s">
        <x:v>278</x:v>
      </x:c>
      <x:c r="F112" s="38"/>
      <x:c r="G112" s="38">
        <x:f>H33*C112</x:f>
        <x:v>0</x:v>
      </x:c>
      <x:c r="H112" s="9"/>
      <x:c r="I112" s="9"/>
      <x:c r="J112" s="36">
        <x:f>F112+I112-G112-H112</x:f>
        <x:v>0</x:v>
      </x:c>
      <x:c r="K112" s="37">
        <x:f>J112/C112</x:f>
        <x:v>0</x:v>
      </x:c>
      <x:c r="L112" s="25" t="str">
        <x:f>IF(J112&lt;M112,119,"")</x:f>
        <x:v/>
      </x:c>
      <x:c r="M112" s="34">
        <x:f>P33*C112</x:f>
        <x:v>0</x:v>
      </x:c>
      <x:c r="N112" s="35">
        <x:f>J112-M112</x:f>
        <x:v>0</x:v>
      </x:c>
    </x:row>
    <x:row r="113" spans="1:14" s="8" customFormat="1" ht="18.75" customHeight="1">
      <x:c r="A113" s="11" t="s">
        <x:v>223</x:v>
      </x:c>
      <x:c r="B113" s="9" t="s">
        <x:v>181</x:v>
      </x:c>
      <x:c r="C113" s="9">
        <x:v>1</x:v>
      </x:c>
      <x:c r="D113" s="14" t="s">
        <x:v>4</x:v>
      </x:c>
      <x:c r="E113" s="9" t="s">
        <x:v>280</x:v>
      </x:c>
      <x:c r="F113" s="38"/>
      <x:c r="G113" s="38">
        <x:f>H34*C113</x:f>
        <x:v>0</x:v>
      </x:c>
      <x:c r="H113" s="9"/>
      <x:c r="I113" s="9"/>
      <x:c r="J113" s="36">
        <x:f>F113+I113-G113-H113</x:f>
        <x:v>0</x:v>
      </x:c>
      <x:c r="K113" s="37">
        <x:f>J113/C113</x:f>
        <x:v>0</x:v>
      </x:c>
      <x:c r="L113" s="25" t="str">
        <x:f>IF(J113&lt;M113,119,"")</x:f>
        <x:v/>
      </x:c>
      <x:c r="M113" s="34">
        <x:f>P34*C113</x:f>
        <x:v>0</x:v>
      </x:c>
      <x:c r="N113" s="35">
        <x:f>J113-M113</x:f>
        <x:v>0</x:v>
      </x:c>
    </x:row>
    <x:row r="114" spans="1:14" s="8" customFormat="1" ht="18.75" customHeight="1">
      <x:c r="A114" s="11" t="s">
        <x:v>223</x:v>
      </x:c>
      <x:c r="B114" s="9" t="s">
        <x:v>216</x:v>
      </x:c>
      <x:c r="C114" s="9">
        <x:v>1</x:v>
      </x:c>
      <x:c r="D114" s="14" t="s">
        <x:v>9</x:v>
      </x:c>
      <x:c r="E114" s="9" t="s">
        <x:v>280</x:v>
      </x:c>
      <x:c r="F114" s="38"/>
      <x:c r="G114" s="38">
        <x:f>H35*C114</x:f>
        <x:v>0</x:v>
      </x:c>
      <x:c r="H114" s="9"/>
      <x:c r="I114" s="9"/>
      <x:c r="J114" s="36">
        <x:f>F114+I114-G114-H114</x:f>
        <x:v>0</x:v>
      </x:c>
      <x:c r="K114" s="37">
        <x:f>J114/C114</x:f>
        <x:v>0</x:v>
      </x:c>
      <x:c r="L114" s="25" t="str">
        <x:f>IF(J114&lt;M114,119,"")</x:f>
        <x:v/>
      </x:c>
      <x:c r="M114" s="34">
        <x:f>P35*C114</x:f>
        <x:v>0</x:v>
      </x:c>
      <x:c r="N114" s="35">
        <x:f>J114-M114</x:f>
        <x:v>0</x:v>
      </x:c>
    </x:row>
    <x:row r="115" spans="1:14" s="8" customFormat="1" ht="18.75" customHeight="1">
      <x:c r="A115" s="11" t="s">
        <x:v>223</x:v>
      </x:c>
      <x:c r="B115" s="9" t="s">
        <x:v>181</x:v>
      </x:c>
      <x:c r="C115" s="9">
        <x:v>1</x:v>
      </x:c>
      <x:c r="D115" s="14" t="s">
        <x:v>244</x:v>
      </x:c>
      <x:c r="E115" s="9" t="s">
        <x:v>278</x:v>
      </x:c>
      <x:c r="F115" s="38"/>
      <x:c r="G115" s="38">
        <x:f>H36*C115</x:f>
        <x:v>0</x:v>
      </x:c>
      <x:c r="H115" s="9"/>
      <x:c r="I115" s="9"/>
      <x:c r="J115" s="36">
        <x:f>F115+I115-G115-H115</x:f>
        <x:v>0</x:v>
      </x:c>
      <x:c r="K115" s="37">
        <x:f>J115/C115</x:f>
        <x:v>0</x:v>
      </x:c>
      <x:c r="L115" s="25" t="str">
        <x:f>IF(J115&lt;M115,119,"")</x:f>
        <x:v/>
      </x:c>
      <x:c r="M115" s="34">
        <x:f>P36*C115</x:f>
        <x:v>0</x:v>
      </x:c>
      <x:c r="N115" s="35">
        <x:f>J115-M115</x:f>
        <x:v>0</x:v>
      </x:c>
    </x:row>
    <x:row r="116" spans="1:14" s="8" customFormat="1" ht="18.75" customHeight="1">
      <x:c r="A116" s="11" t="s">
        <x:v>223</x:v>
      </x:c>
      <x:c r="B116" s="9" t="s">
        <x:v>181</x:v>
      </x:c>
      <x:c r="C116" s="9">
        <x:v>1</x:v>
      </x:c>
      <x:c r="D116" s="14" t="s">
        <x:v>247</x:v>
      </x:c>
      <x:c r="E116" s="9" t="s">
        <x:v>278</x:v>
      </x:c>
      <x:c r="F116" s="38"/>
      <x:c r="G116" s="38">
        <x:f>H37*C116</x:f>
        <x:v>0</x:v>
      </x:c>
      <x:c r="H116" s="9"/>
      <x:c r="I116" s="9"/>
      <x:c r="J116" s="36">
        <x:f>F116+I116-G116-H116</x:f>
        <x:v>0</x:v>
      </x:c>
      <x:c r="K116" s="37">
        <x:f>J116/C116</x:f>
        <x:v>0</x:v>
      </x:c>
      <x:c r="L116" s="25" t="str">
        <x:f>IF(J116&lt;M116,119,"")</x:f>
        <x:v/>
      </x:c>
      <x:c r="M116" s="34">
        <x:f>P37*C116</x:f>
        <x:v>0</x:v>
      </x:c>
      <x:c r="N116" s="35">
        <x:f>J116-M116</x:f>
        <x:v>0</x:v>
      </x:c>
    </x:row>
    <x:row r="117" spans="1:14" s="8" customFormat="1" ht="18.75" customHeight="1">
      <x:c r="A117" s="11" t="s">
        <x:v>223</x:v>
      </x:c>
      <x:c r="B117" s="9" t="s">
        <x:v>216</x:v>
      </x:c>
      <x:c r="C117" s="9">
        <x:v>1</x:v>
      </x:c>
      <x:c r="D117" s="14" t="s">
        <x:v>22</x:v>
      </x:c>
      <x:c r="E117" s="9" t="s">
        <x:v>278</x:v>
      </x:c>
      <x:c r="F117" s="38"/>
      <x:c r="G117" s="38">
        <x:f>H38*C117</x:f>
        <x:v>0</x:v>
      </x:c>
      <x:c r="H117" s="9"/>
      <x:c r="I117" s="9"/>
      <x:c r="J117" s="36">
        <x:f>F117+I117-G117-H117</x:f>
        <x:v>0</x:v>
      </x:c>
      <x:c r="K117" s="37">
        <x:f>J117/C117</x:f>
        <x:v>0</x:v>
      </x:c>
      <x:c r="L117" s="25" t="str">
        <x:f>IF(J117&lt;M117,119,"")</x:f>
        <x:v/>
      </x:c>
      <x:c r="M117" s="34">
        <x:f>P38*C117</x:f>
        <x:v>0</x:v>
      </x:c>
      <x:c r="N117" s="35">
        <x:f>J117-M117</x:f>
        <x:v>0</x:v>
      </x:c>
    </x:row>
    <x:row r="118" spans="1:14" s="8" customFormat="1" ht="18.75" customHeight="1">
      <x:c r="A118" s="11" t="s">
        <x:v>223</x:v>
      </x:c>
      <x:c r="B118" s="9" t="s">
        <x:v>216</x:v>
      </x:c>
      <x:c r="C118" s="9">
        <x:v>1</x:v>
      </x:c>
      <x:c r="D118" s="14" t="s">
        <x:v>96</x:v>
      </x:c>
      <x:c r="E118" s="9" t="s">
        <x:v>278</x:v>
      </x:c>
      <x:c r="F118" s="38"/>
      <x:c r="G118" s="38">
        <x:f>H39*C118</x:f>
        <x:v>0</x:v>
      </x:c>
      <x:c r="H118" s="9"/>
      <x:c r="I118" s="9"/>
      <x:c r="J118" s="36">
        <x:f>F118+I118-G118-H118</x:f>
        <x:v>0</x:v>
      </x:c>
      <x:c r="K118" s="37">
        <x:f>J118/C118</x:f>
        <x:v>0</x:v>
      </x:c>
      <x:c r="L118" s="25" t="str">
        <x:f>IF(J118&lt;M118,119,"")</x:f>
        <x:v/>
      </x:c>
      <x:c r="M118" s="34">
        <x:f>P39*C118</x:f>
        <x:v>0</x:v>
      </x:c>
      <x:c r="N118" s="35">
        <x:f>J118-M118</x:f>
        <x:v>0</x:v>
      </x:c>
    </x:row>
    <x:row r="119" spans="1:14" s="8" customFormat="1" ht="18.75" customHeight="1">
      <x:c r="A119" s="11" t="s">
        <x:v>223</x:v>
      </x:c>
      <x:c r="B119" s="9" t="s">
        <x:v>137</x:v>
      </x:c>
      <x:c r="C119" s="9">
        <x:v>1</x:v>
      </x:c>
      <x:c r="D119" s="14" t="s">
        <x:v>83</x:v>
      </x:c>
      <x:c r="E119" s="9"/>
      <x:c r="F119" s="38"/>
      <x:c r="G119" s="38">
        <x:f>J6*C119</x:f>
        <x:v>0</x:v>
      </x:c>
      <x:c r="H119" s="9"/>
      <x:c r="I119" s="9"/>
      <x:c r="J119" s="36">
        <x:f>F119+I119-G119-H119</x:f>
        <x:v>0</x:v>
      </x:c>
      <x:c r="K119" s="37">
        <x:f>J119/C119</x:f>
        <x:v>0</x:v>
      </x:c>
      <x:c r="L119" s="25">
        <x:f>IF(J119&lt;M119,119,"")</x:f>
        <x:v>119</x:v>
      </x:c>
      <x:c r="M119" s="34">
        <x:f>R6*C119</x:f>
        <x:v>13</x:v>
      </x:c>
      <x:c r="N119" s="35">
        <x:f>J119-M119</x:f>
        <x:v>-13</x:v>
      </x:c>
    </x:row>
    <x:row r="120" spans="1:14" s="8" customFormat="1" ht="18.75" customHeight="1">
      <x:c r="A120" s="11" t="s">
        <x:v>223</x:v>
      </x:c>
      <x:c r="B120" s="9" t="s">
        <x:v>137</x:v>
      </x:c>
      <x:c r="C120" s="9">
        <x:v>1</x:v>
      </x:c>
      <x:c r="D120" s="14" t="s">
        <x:v>41</x:v>
      </x:c>
      <x:c r="E120" s="9"/>
      <x:c r="F120" s="38"/>
      <x:c r="G120" s="38">
        <x:f>J7*C120</x:f>
        <x:v>0</x:v>
      </x:c>
      <x:c r="H120" s="9"/>
      <x:c r="I120" s="9"/>
      <x:c r="J120" s="36">
        <x:f>F120+I120-G120-H120</x:f>
        <x:v>0</x:v>
      </x:c>
      <x:c r="K120" s="37">
        <x:f>J120/C120</x:f>
        <x:v>0</x:v>
      </x:c>
      <x:c r="L120" s="25" t="str">
        <x:f>IF(J120&lt;M120,119,"")</x:f>
        <x:v/>
      </x:c>
      <x:c r="M120" s="34">
        <x:f>R7*C120</x:f>
        <x:v>0</x:v>
      </x:c>
      <x:c r="N120" s="35">
        <x:f>J120-M120</x:f>
        <x:v>0</x:v>
      </x:c>
    </x:row>
    <x:row r="121" spans="1:14" s="8" customFormat="1" ht="18.75" customHeight="1">
      <x:c r="A121" s="11" t="s">
        <x:v>223</x:v>
      </x:c>
      <x:c r="B121" s="9" t="s">
        <x:v>219</x:v>
      </x:c>
      <x:c r="C121" s="9">
        <x:v>1</x:v>
      </x:c>
      <x:c r="D121" s="14" t="s">
        <x:v>47</x:v>
      </x:c>
      <x:c r="E121" s="9"/>
      <x:c r="F121" s="38"/>
      <x:c r="G121" s="38">
        <x:f>J8*C121</x:f>
        <x:v>0</x:v>
      </x:c>
      <x:c r="H121" s="9"/>
      <x:c r="I121" s="9"/>
      <x:c r="J121" s="36">
        <x:f>F121+I121-G121-H121</x:f>
        <x:v>0</x:v>
      </x:c>
      <x:c r="K121" s="37">
        <x:f>J121/C121</x:f>
        <x:v>0</x:v>
      </x:c>
      <x:c r="L121" s="25">
        <x:f>IF(J121&lt;M121,119,"")</x:f>
        <x:v>119</x:v>
      </x:c>
      <x:c r="M121" s="34">
        <x:f>R8*C121</x:f>
        <x:v>10</x:v>
      </x:c>
      <x:c r="N121" s="35">
        <x:f>J121-M121</x:f>
        <x:v>-10</x:v>
      </x:c>
    </x:row>
    <x:row r="122" spans="1:14" s="8" customFormat="1" ht="18.75" customHeight="1">
      <x:c r="A122" s="11" t="s">
        <x:v>223</x:v>
      </x:c>
      <x:c r="B122" s="9" t="s">
        <x:v>219</x:v>
      </x:c>
      <x:c r="C122" s="9">
        <x:v>1</x:v>
      </x:c>
      <x:c r="D122" s="14" t="s">
        <x:v>73</x:v>
      </x:c>
      <x:c r="E122" s="9"/>
      <x:c r="F122" s="38"/>
      <x:c r="G122" s="38">
        <x:f>J9*C122</x:f>
        <x:v>0</x:v>
      </x:c>
      <x:c r="H122" s="9"/>
      <x:c r="I122" s="9"/>
      <x:c r="J122" s="36">
        <x:f>F122+I122-G122-H122</x:f>
        <x:v>0</x:v>
      </x:c>
      <x:c r="K122" s="37">
        <x:f>J122/C122</x:f>
        <x:v>0</x:v>
      </x:c>
      <x:c r="L122" s="25">
        <x:f>IF(J122&lt;M122,119,"")</x:f>
        <x:v>119</x:v>
      </x:c>
      <x:c r="M122" s="34">
        <x:f>R9*C122</x:f>
        <x:v>10</x:v>
      </x:c>
      <x:c r="N122" s="35">
        <x:f>J122-M122</x:f>
        <x:v>-10</x:v>
      </x:c>
    </x:row>
    <x:row r="123" spans="1:14" ht="18.75" customHeight="1">
      <x:c r="A123" s="15" t="s">
        <x:v>281</x:v>
      </x:c>
      <x:c r="B123" s="14" t="s">
        <x:v>189</x:v>
      </x:c>
      <x:c r="C123" s="6">
        <x:v>2</x:v>
      </x:c>
      <x:c r="D123" s="14" t="s">
        <x:v>268</x:v>
      </x:c>
      <x:c r="E123" s="1" t="s">
        <x:v>32</x:v>
      </x:c>
      <x:c r="F123" s="38">
        <x:f>'2026.9.11'!J81</x:f>
        <x:v>310</x:v>
      </x:c>
      <x:c r="G123" s="33">
        <x:f>SUM(H4:H31)*C123</x:f>
        <x:v>0</x:v>
      </x:c>
      <x:c r="H123" s="6"/>
      <x:c r="I123" s="6"/>
      <x:c r="J123" s="36">
        <x:f>F123+I123-G123-H123</x:f>
        <x:v>310</x:v>
      </x:c>
      <x:c r="K123" s="37">
        <x:f>J123/C123</x:f>
        <x:v>155</x:v>
      </x:c>
      <x:c r="L123" s="25" t="str">
        <x:f>IF(J123&lt;M123,119,"")</x:f>
        <x:v/>
      </x:c>
      <x:c r="M123" s="34">
        <x:f>SUM(P4:P31)*C123</x:f>
        <x:v>166</x:v>
      </x:c>
      <x:c r="N123" s="35">
        <x:f>J123-M123</x:f>
        <x:v>144</x:v>
      </x:c>
    </x:row>
    <x:row r="124" spans="1:14" ht="18.75" customHeight="1">
      <x:c r="A124" s="15" t="s">
        <x:v>281</x:v>
      </x:c>
      <x:c r="B124" s="14" t="s">
        <x:v>189</x:v>
      </x:c>
      <x:c r="C124" s="6">
        <x:v>2</x:v>
      </x:c>
      <x:c r="D124" s="14" t="s">
        <x:v>70</x:v>
      </x:c>
      <x:c r="E124" s="1" t="s">
        <x:v>65</x:v>
      </x:c>
      <x:c r="F124" s="38">
        <x:f>'2026.9.11'!J82</x:f>
        <x:v>240</x:v>
      </x:c>
      <x:c r="G124" s="33">
        <x:f>SUM(H32:H35)*C124</x:f>
        <x:v>0</x:v>
      </x:c>
      <x:c r="H124" s="6"/>
      <x:c r="I124" s="6"/>
      <x:c r="J124" s="36">
        <x:f>F124+I124-G124-H124</x:f>
        <x:v>240</x:v>
      </x:c>
      <x:c r="K124" s="37">
        <x:f>J124/C124</x:f>
        <x:v>120</x:v>
      </x:c>
      <x:c r="L124" s="25" t="str">
        <x:f>IF(J124&lt;M124,119,"")</x:f>
        <x:v/>
      </x:c>
      <x:c r="M124" s="34">
        <x:f>SUM(P32:P35)*C124</x:f>
        <x:v>34</x:v>
      </x:c>
      <x:c r="N124" s="35">
        <x:f>J124-M124</x:f>
        <x:v>206</x:v>
      </x:c>
    </x:row>
    <x:row r="125" spans="1:14" customFormat="1" ht="18.75" customHeight="1">
      <x:c r="A125" s="15" t="s">
        <x:v>281</x:v>
      </x:c>
      <x:c r="B125" s="14" t="s">
        <x:v>189</x:v>
      </x:c>
      <x:c r="C125" s="6">
        <x:v>2</x:v>
      </x:c>
      <x:c r="D125" s="14" t="s">
        <x:v>244</x:v>
      </x:c>
      <x:c r="E125" s="1" t="s">
        <x:v>32</x:v>
      </x:c>
      <x:c r="F125" s="38">
        <x:f>'2026.9.11'!J83</x:f>
        <x:v>17</x:v>
      </x:c>
      <x:c r="G125" s="33">
        <x:f>H36*C125</x:f>
        <x:v>0</x:v>
      </x:c>
      <x:c r="H125" s="6"/>
      <x:c r="I125" s="6"/>
      <x:c r="J125" s="36">
        <x:f>F125+I125-G125-H125</x:f>
        <x:v>17</x:v>
      </x:c>
      <x:c r="K125" s="37">
        <x:f>J125/C125</x:f>
        <x:v>8.5</x:v>
      </x:c>
      <x:c r="L125" s="25" t="str">
        <x:f>IF(J125&lt;M125,119,"")</x:f>
        <x:v/>
      </x:c>
      <x:c r="M125" s="34">
        <x:f>P36*C125</x:f>
        <x:v>0</x:v>
      </x:c>
      <x:c r="N125" s="35">
        <x:f>J125-M125</x:f>
        <x:v>17</x:v>
      </x:c>
    </x:row>
    <x:row r="126" spans="1:14" customFormat="1" ht="18.75" customHeight="1">
      <x:c r="A126" s="15" t="s">
        <x:v>281</x:v>
      </x:c>
      <x:c r="B126" s="14" t="s">
        <x:v>189</x:v>
      </x:c>
      <x:c r="C126" s="6">
        <x:v>2</x:v>
      </x:c>
      <x:c r="D126" s="14" t="s">
        <x:v>247</x:v>
      </x:c>
      <x:c r="E126" s="1" t="s">
        <x:v>110</x:v>
      </x:c>
      <x:c r="F126" s="38">
        <x:f>'2026.9.11'!J84</x:f>
        <x:v>17</x:v>
      </x:c>
      <x:c r="G126" s="33">
        <x:f>H37*C126</x:f>
        <x:v>0</x:v>
      </x:c>
      <x:c r="H126" s="6"/>
      <x:c r="I126" s="6"/>
      <x:c r="J126" s="36">
        <x:f>F126+I126-G126-H126</x:f>
        <x:v>17</x:v>
      </x:c>
      <x:c r="K126" s="37">
        <x:f>J126/C126</x:f>
        <x:v>8.5</x:v>
      </x:c>
      <x:c r="L126" s="25" t="str">
        <x:f>IF(J126&lt;M126,119,"")</x:f>
        <x:v/>
      </x:c>
      <x:c r="M126" s="34">
        <x:f>P37*C126</x:f>
        <x:v>0</x:v>
      </x:c>
      <x:c r="N126" s="35">
        <x:f>J126-M126</x:f>
        <x:v>17</x:v>
      </x:c>
    </x:row>
    <x:row r="127" spans="1:14" customFormat="1" ht="18.75" customHeight="1">
      <x:c r="A127" s="15" t="s">
        <x:v>281</x:v>
      </x:c>
      <x:c r="B127" s="14" t="s">
        <x:v>189</x:v>
      </x:c>
      <x:c r="C127" s="6">
        <x:v>2</x:v>
      </x:c>
      <x:c r="D127" s="14" t="s">
        <x:v>11</x:v>
      </x:c>
      <x:c r="E127" s="1" t="s">
        <x:v>103</x:v>
      </x:c>
      <x:c r="F127" s="38">
        <x:f>'2026.9.11'!J85</x:f>
        <x:v>4</x:v>
      </x:c>
      <x:c r="G127" s="33">
        <x:f>SUM(H38:H39)*C127</x:f>
        <x:v>0</x:v>
      </x:c>
      <x:c r="H127" s="6"/>
      <x:c r="I127" s="6"/>
      <x:c r="J127" s="36">
        <x:f>F127+I127-G127-H127</x:f>
        <x:v>4</x:v>
      </x:c>
      <x:c r="K127" s="37">
        <x:f>J127/C127</x:f>
        <x:v>2</x:v>
      </x:c>
      <x:c r="L127" s="25" t="str">
        <x:f>IF(J127&lt;M127,119,"")</x:f>
        <x:v/>
      </x:c>
      <x:c r="M127" s="34">
        <x:f>SUM(P38:P39)*C127</x:f>
        <x:v>0</x:v>
      </x:c>
      <x:c r="N127" s="35">
        <x:f>J127-M127</x:f>
        <x:v>4</x:v>
      </x:c>
    </x:row>
    <x:row r="128" spans="1:14" customFormat="1" ht="18.75" customHeight="1">
      <x:c r="A128" s="15" t="s">
        <x:v>281</x:v>
      </x:c>
      <x:c r="B128" s="14" t="s">
        <x:v>143</x:v>
      </x:c>
      <x:c r="C128" s="6">
        <x:v>2</x:v>
      </x:c>
      <x:c r="D128" s="14" t="s">
        <x:v>83</x:v>
      </x:c>
      <x:c r="E128" s="7" t="s">
        <x:v>60</x:v>
      </x:c>
      <x:c r="F128" s="38">
        <x:f>'2026.9.11'!J86</x:f>
        <x:v>76</x:v>
      </x:c>
      <x:c r="G128" s="33">
        <x:f>J6*C128</x:f>
        <x:v>0</x:v>
      </x:c>
      <x:c r="H128" s="6"/>
      <x:c r="I128" s="6"/>
      <x:c r="J128" s="36">
        <x:f>F128+I128-G128-H128</x:f>
        <x:v>76</x:v>
      </x:c>
      <x:c r="K128" s="37">
        <x:f>J128/C128</x:f>
        <x:v>38</x:v>
      </x:c>
      <x:c r="L128" s="25" t="str">
        <x:f>IF(J128&lt;M128,119,"")</x:f>
        <x:v/>
      </x:c>
      <x:c r="M128" s="34">
        <x:f>R6*C128</x:f>
        <x:v>26</x:v>
      </x:c>
      <x:c r="N128" s="35">
        <x:f>J128-M128</x:f>
        <x:v>50</x:v>
      </x:c>
    </x:row>
    <x:row r="129" spans="1:14" customFormat="1" ht="18.75" customHeight="1">
      <x:c r="A129" s="15" t="s">
        <x:v>281</x:v>
      </x:c>
      <x:c r="B129" s="14" t="s">
        <x:v>143</x:v>
      </x:c>
      <x:c r="C129" s="6">
        <x:v>2</x:v>
      </x:c>
      <x:c r="D129" s="14" t="s">
        <x:v>41</x:v>
      </x:c>
      <x:c r="E129" s="7" t="s">
        <x:v>25</x:v>
      </x:c>
      <x:c r="F129" s="38">
        <x:f>'2026.9.11'!J87</x:f>
        <x:v>2</x:v>
      </x:c>
      <x:c r="G129" s="33">
        <x:f>J7*C129</x:f>
        <x:v>0</x:v>
      </x:c>
      <x:c r="H129" s="6"/>
      <x:c r="I129" s="6"/>
      <x:c r="J129" s="36">
        <x:f>F129+I129-G129-H129</x:f>
        <x:v>2</x:v>
      </x:c>
      <x:c r="K129" s="37">
        <x:f>J129/C129</x:f>
        <x:v>1</x:v>
      </x:c>
      <x:c r="L129" s="25" t="str">
        <x:f>IF(J129&lt;M129,119,"")</x:f>
        <x:v/>
      </x:c>
      <x:c r="M129" s="34">
        <x:f>R7*C129</x:f>
        <x:v>0</x:v>
      </x:c>
      <x:c r="N129" s="35">
        <x:f>J129-M129</x:f>
        <x:v>2</x:v>
      </x:c>
    </x:row>
    <x:row r="130" spans="1:14" customFormat="1" ht="18.75" customHeight="1">
      <x:c r="A130" s="15" t="s">
        <x:v>281</x:v>
      </x:c>
      <x:c r="B130" s="14" t="s">
        <x:v>143</x:v>
      </x:c>
      <x:c r="C130" s="6">
        <x:v>2</x:v>
      </x:c>
      <x:c r="D130" s="14" t="s">
        <x:v>47</x:v>
      </x:c>
      <x:c r="E130" s="7" t="s">
        <x:v>39</x:v>
      </x:c>
      <x:c r="F130" s="38">
        <x:f>'2026.9.11'!J88</x:f>
        <x:v>69</x:v>
      </x:c>
      <x:c r="G130" s="33">
        <x:f>J8*C130</x:f>
        <x:v>0</x:v>
      </x:c>
      <x:c r="H130" s="6"/>
      <x:c r="I130" s="6"/>
      <x:c r="J130" s="36">
        <x:f>F130+I130-G130-H130</x:f>
        <x:v>69</x:v>
      </x:c>
      <x:c r="K130" s="37">
        <x:f>J130/C130</x:f>
        <x:v>34.5</x:v>
      </x:c>
      <x:c r="L130" s="25" t="str">
        <x:f>IF(J130&lt;M130,119,"")</x:f>
        <x:v/>
      </x:c>
      <x:c r="M130" s="34">
        <x:f>R8*C130</x:f>
        <x:v>20</x:v>
      </x:c>
      <x:c r="N130" s="35">
        <x:f>J130-M130</x:f>
        <x:v>49</x:v>
      </x:c>
    </x:row>
    <x:row r="131" spans="1:14" customFormat="1" ht="18.75" customHeight="1">
      <x:c r="A131" s="15" t="s">
        <x:v>281</x:v>
      </x:c>
      <x:c r="B131" s="14" t="s">
        <x:v>143</x:v>
      </x:c>
      <x:c r="C131" s="6">
        <x:v>2</x:v>
      </x:c>
      <x:c r="D131" s="14" t="s">
        <x:v>73</x:v>
      </x:c>
      <x:c r="E131" s="7" t="s">
        <x:v>90</x:v>
      </x:c>
      <x:c r="F131" s="38">
        <x:f>'2026.9.11'!J89</x:f>
        <x:v>64</x:v>
      </x:c>
      <x:c r="G131" s="33">
        <x:f>J9*C131</x:f>
        <x:v>0</x:v>
      </x:c>
      <x:c r="H131" s="6"/>
      <x:c r="I131" s="6"/>
      <x:c r="J131" s="36">
        <x:f>F131+I131-G131-H131</x:f>
        <x:v>64</x:v>
      </x:c>
      <x:c r="K131" s="37">
        <x:f>J131/C131</x:f>
        <x:v>32</x:v>
      </x:c>
      <x:c r="L131" s="25" t="str">
        <x:f>IF(J131&lt;M131,119,"")</x:f>
        <x:v/>
      </x:c>
      <x:c r="M131" s="34">
        <x:f>R9*C131</x:f>
        <x:v>20</x:v>
      </x:c>
      <x:c r="N131" s="35">
        <x:f>J131-M131</x:f>
        <x:v>44</x:v>
      </x:c>
    </x:row>
    <x:row r="132" spans="1:14" customFormat="1" ht="18.75" customHeight="1">
      <x:c r="A132" s="15" t="s">
        <x:v>242</x:v>
      </x:c>
      <x:c r="B132" s="14" t="s">
        <x:v>189</x:v>
      </x:c>
      <x:c r="C132" s="6">
        <x:v>2</x:v>
      </x:c>
      <x:c r="D132" s="14" t="s">
        <x:v>11</x:v>
      </x:c>
      <x:c r="E132" s="6" t="s">
        <x:v>122</x:v>
      </x:c>
      <x:c r="F132" s="38">
        <x:f>'2026.9.11'!J90</x:f>
        <x:v>6</x:v>
      </x:c>
      <x:c r="G132" s="33">
        <x:f>SUM(H38:H39)*C132</x:f>
        <x:v>0</x:v>
      </x:c>
      <x:c r="H132" s="6"/>
      <x:c r="I132" s="6"/>
      <x:c r="J132" s="36">
        <x:f>F132+I132-G132-H132</x:f>
        <x:v>6</x:v>
      </x:c>
      <x:c r="K132" s="37">
        <x:f>J132/C132</x:f>
        <x:v>3</x:v>
      </x:c>
      <x:c r="L132" s="25" t="str">
        <x:f>IF(J132&lt;M132,119,"")</x:f>
        <x:v/>
      </x:c>
      <x:c r="M132" s="34">
        <x:f>SUM(P38:P39)*C132</x:f>
        <x:v>0</x:v>
      </x:c>
      <x:c r="N132" s="35">
        <x:f>J132-M132</x:f>
        <x:v>6</x:v>
      </x:c>
    </x:row>
    <x:row r="133" spans="1:14" ht="18.75" customHeight="1">
      <x:c r="A133" s="15" t="s">
        <x:v>67</x:v>
      </x:c>
      <x:c r="B133" s="14" t="s">
        <x:v>62</x:v>
      </x:c>
      <x:c r="C133" s="6">
        <x:v>4</x:v>
      </x:c>
      <x:c r="D133" s="14" t="s">
        <x:v>262</x:v>
      </x:c>
      <x:c r="E133" s="1" t="s">
        <x:v>69</x:v>
      </x:c>
      <x:c r="F133" s="38">
        <x:f>'2026.9.11'!J91</x:f>
        <x:v>304</x:v>
      </x:c>
      <x:c r="G133" s="33">
        <x:f>SUM(H4:H18)*C133</x:f>
        <x:v>0</x:v>
      </x:c>
      <x:c r="H133" s="6"/>
      <x:c r="I133" s="6"/>
      <x:c r="J133" s="36">
        <x:f>F133+I133-G133-H133</x:f>
        <x:v>304</x:v>
      </x:c>
      <x:c r="K133" s="37">
        <x:f>J133/C133</x:f>
        <x:v>76</x:v>
      </x:c>
      <x:c r="L133" s="25" t="str">
        <x:f>IF(J133&lt;M133,119,"")</x:f>
        <x:v/>
      </x:c>
      <x:c r="M133" s="34">
        <x:f>SUM(P4:P18)*C133</x:f>
        <x:v>256</x:v>
      </x:c>
      <x:c r="N133" s="35">
        <x:f>J133-M133</x:f>
        <x:v>48</x:v>
      </x:c>
    </x:row>
    <x:row r="134" spans="1:14" ht="18.75" customHeight="1">
      <x:c r="A134" s="15" t="s">
        <x:v>67</x:v>
      </x:c>
      <x:c r="B134" s="14" t="s">
        <x:v>62</x:v>
      </x:c>
      <x:c r="C134" s="6">
        <x:v>4</x:v>
      </x:c>
      <x:c r="D134" s="14" t="s">
        <x:v>249</x:v>
      </x:c>
      <x:c r="E134" s="1" t="s">
        <x:v>61</x:v>
      </x:c>
      <x:c r="F134" s="38">
        <x:f>'2026.9.11'!J92</x:f>
        <x:v>150</x:v>
      </x:c>
      <x:c r="G134" s="39">
        <x:f>SUM(H19:H31)*C134</x:f>
        <x:v>0</x:v>
      </x:c>
      <x:c r="J134" s="36">
        <x:f>F134+I134-G134-H134</x:f>
        <x:v>150</x:v>
      </x:c>
      <x:c r="K134" s="37">
        <x:f>J134/C134</x:f>
        <x:v>37.5</x:v>
      </x:c>
      <x:c r="L134" s="25" t="str">
        <x:f>IF(J134&lt;M134,119,"")</x:f>
        <x:v/>
      </x:c>
      <x:c r="M134" s="34">
        <x:f>SUM(P19:P31)*C134</x:f>
        <x:v>76</x:v>
      </x:c>
      <x:c r="N134" s="35">
        <x:f>J134-M134</x:f>
        <x:v>74</x:v>
      </x:c>
    </x:row>
    <x:row r="135" spans="1:14" ht="18.75" customHeight="1">
      <x:c r="A135" s="15" t="s">
        <x:v>67</x:v>
      </x:c>
      <x:c r="B135" s="14" t="s">
        <x:v>62</x:v>
      </x:c>
      <x:c r="C135" s="6">
        <x:v>4</x:v>
      </x:c>
      <x:c r="D135" s="14" t="s">
        <x:v>70</x:v>
      </x:c>
      <x:c r="E135" s="7" t="s">
        <x:v>26</x:v>
      </x:c>
      <x:c r="F135" s="38">
        <x:f>'2026.9.11'!J93</x:f>
        <x:v>262</x:v>
      </x:c>
      <x:c r="G135" s="39">
        <x:f>SUM(H32:H35)*C135</x:f>
        <x:v>0</x:v>
      </x:c>
      <x:c r="J135" s="36">
        <x:f>F135+I135-G135-H135</x:f>
        <x:v>262</x:v>
      </x:c>
      <x:c r="K135" s="37">
        <x:f>J135/C135</x:f>
        <x:v>65.5</x:v>
      </x:c>
      <x:c r="L135" s="25" t="str">
        <x:f>IF(J135&lt;M135,119,"")</x:f>
        <x:v/>
      </x:c>
      <x:c r="M135" s="65">
        <x:f>SUM(P32:P35)*C135</x:f>
        <x:v>68</x:v>
      </x:c>
      <x:c r="N135" s="35">
        <x:f>J135-M135</x:f>
        <x:v>194</x:v>
      </x:c>
    </x:row>
    <x:row r="136" spans="1:14" customFormat="1" ht="18.75" customHeight="1">
      <x:c r="A136" s="15" t="s">
        <x:v>67</x:v>
      </x:c>
      <x:c r="B136" s="14" t="s">
        <x:v>62</x:v>
      </x:c>
      <x:c r="C136" s="6">
        <x:v>4</x:v>
      </x:c>
      <x:c r="D136" s="14" t="s">
        <x:v>244</x:v>
      </x:c>
      <x:c r="E136" s="6" t="s">
        <x:v>121</x:v>
      </x:c>
      <x:c r="F136" s="38">
        <x:f>'2026.9.11'!J94</x:f>
        <x:v>6</x:v>
      </x:c>
      <x:c r="G136" s="39">
        <x:f>H36*C136</x:f>
        <x:v>0</x:v>
      </x:c>
      <x:c r="H136" s="1"/>
      <x:c r="I136" s="1"/>
      <x:c r="J136" s="36">
        <x:f>F136+I136-G136-H136</x:f>
        <x:v>6</x:v>
      </x:c>
      <x:c r="K136" s="37">
        <x:f>J136/C136</x:f>
        <x:v>1.5</x:v>
      </x:c>
      <x:c r="L136" s="25" t="str">
        <x:f>IF(J136&lt;M136,119,"")</x:f>
        <x:v/>
      </x:c>
      <x:c r="M136" s="34">
        <x:f>P36*C136</x:f>
        <x:v>0</x:v>
      </x:c>
      <x:c r="N136" s="35">
        <x:f>J136-M136</x:f>
        <x:v>6</x:v>
      </x:c>
    </x:row>
    <x:row r="137" spans="1:14" customFormat="1" ht="18.75" customHeight="1">
      <x:c r="A137" s="15" t="s">
        <x:v>67</x:v>
      </x:c>
      <x:c r="B137" s="14" t="s">
        <x:v>62</x:v>
      </x:c>
      <x:c r="C137" s="6">
        <x:v>4</x:v>
      </x:c>
      <x:c r="D137" s="14" t="s">
        <x:v>247</x:v>
      </x:c>
      <x:c r="E137" s="6" t="s">
        <x:v>117</x:v>
      </x:c>
      <x:c r="F137" s="38">
        <x:f>'2026.9.11'!J95</x:f>
        <x:v>6</x:v>
      </x:c>
      <x:c r="G137" s="39">
        <x:f>H37*C137</x:f>
        <x:v>0</x:v>
      </x:c>
      <x:c r="H137" s="1"/>
      <x:c r="I137" s="1"/>
      <x:c r="J137" s="36">
        <x:f>F137+I137-G137-H137</x:f>
        <x:v>6</x:v>
      </x:c>
      <x:c r="K137" s="37">
        <x:f>J137/C137</x:f>
        <x:v>1.5</x:v>
      </x:c>
      <x:c r="L137" s="25" t="str">
        <x:f>IF(J137&lt;M137,119,"")</x:f>
        <x:v/>
      </x:c>
      <x:c r="M137" s="34">
        <x:f>P37*C137</x:f>
        <x:v>0</x:v>
      </x:c>
      <x:c r="N137" s="35">
        <x:f>J137-M137</x:f>
        <x:v>6</x:v>
      </x:c>
    </x:row>
    <x:row r="138" spans="1:14" customFormat="1" ht="18.75" customHeight="1">
      <x:c r="A138" s="15" t="s">
        <x:v>67</x:v>
      </x:c>
      <x:c r="B138" s="14" t="s">
        <x:v>62</x:v>
      </x:c>
      <x:c r="C138" s="6">
        <x:v>2</x:v>
      </x:c>
      <x:c r="D138" s="14" t="s">
        <x:v>22</x:v>
      </x:c>
      <x:c r="E138" s="6" t="s">
        <x:v>93</x:v>
      </x:c>
      <x:c r="F138" s="38">
        <x:f>'2026.9.11'!J96</x:f>
        <x:v>0</x:v>
      </x:c>
      <x:c r="G138" s="39">
        <x:f>H38*C138</x:f>
        <x:v>0</x:v>
      </x:c>
      <x:c r="H138" s="1"/>
      <x:c r="I138" s="1"/>
      <x:c r="J138" s="36">
        <x:f>F138+I138-G138-H138</x:f>
        <x:v>0</x:v>
      </x:c>
      <x:c r="K138" s="37">
        <x:f>J138/C138</x:f>
        <x:v>0</x:v>
      </x:c>
      <x:c r="L138" s="25" t="str">
        <x:f>IF(J138&lt;M138,119,"")</x:f>
        <x:v/>
      </x:c>
      <x:c r="M138" s="34">
        <x:f>P38*C138</x:f>
        <x:v>0</x:v>
      </x:c>
      <x:c r="N138" s="35">
        <x:f>J138-M138</x:f>
        <x:v>0</x:v>
      </x:c>
    </x:row>
    <x:row r="139" spans="1:14" customFormat="1" ht="18.75" customHeight="1">
      <x:c r="A139" s="15" t="s">
        <x:v>67</x:v>
      </x:c>
      <x:c r="B139" s="14" t="s">
        <x:v>62</x:v>
      </x:c>
      <x:c r="C139" s="6">
        <x:v>2</x:v>
      </x:c>
      <x:c r="D139" s="14" t="s">
        <x:v>96</x:v>
      </x:c>
      <x:c r="E139" s="6" t="s">
        <x:v>102</x:v>
      </x:c>
      <x:c r="F139" s="38">
        <x:f>'2026.9.11'!J97</x:f>
        <x:v>4</x:v>
      </x:c>
      <x:c r="G139" s="39">
        <x:f>H39*C139</x:f>
        <x:v>0</x:v>
      </x:c>
      <x:c r="H139" s="1"/>
      <x:c r="I139" s="1"/>
      <x:c r="J139" s="36">
        <x:f>F139+I139-G139-H139</x:f>
        <x:v>4</x:v>
      </x:c>
      <x:c r="K139" s="37">
        <x:f>J139/C139</x:f>
        <x:v>2</x:v>
      </x:c>
      <x:c r="L139" s="25" t="str">
        <x:f>IF(J139&lt;M139,119,"")</x:f>
        <x:v/>
      </x:c>
      <x:c r="M139" s="34">
        <x:f>P39*C139</x:f>
        <x:v>0</x:v>
      </x:c>
      <x:c r="N139" s="35">
        <x:f>J139-M139</x:f>
        <x:v>4</x:v>
      </x:c>
    </x:row>
    <x:row r="140" spans="1:14" ht="18.75" customHeight="1">
      <x:c r="A140" s="15" t="s">
        <x:v>67</x:v>
      </x:c>
      <x:c r="B140" s="14" t="s">
        <x:v>62</x:v>
      </x:c>
      <x:c r="C140" s="1">
        <x:v>4</x:v>
      </x:c>
      <x:c r="D140" s="14" t="s">
        <x:v>83</x:v>
      </x:c>
      <x:c r="E140" s="7" t="s">
        <x:v>61</x:v>
      </x:c>
      <x:c r="F140" s="38">
        <x:f>'2026.9.11'!J98</x:f>
        <x:v>206</x:v>
      </x:c>
      <x:c r="G140" s="39">
        <x:f>J6*C140</x:f>
        <x:v>0</x:v>
      </x:c>
      <x:c r="J140" s="36">
        <x:f>F140+I140-G140-H140</x:f>
        <x:v>206</x:v>
      </x:c>
      <x:c r="K140" s="37">
        <x:f>J140/C140</x:f>
        <x:v>51.5</x:v>
      </x:c>
      <x:c r="L140" s="25" t="str">
        <x:f>IF(J140&lt;M140,119,"")</x:f>
        <x:v/>
      </x:c>
      <x:c r="M140" s="34">
        <x:f>SUM(R6)*C140</x:f>
        <x:v>52</x:v>
      </x:c>
      <x:c r="N140" s="35">
        <x:f>J140-M140</x:f>
        <x:v>154</x:v>
      </x:c>
    </x:row>
    <x:row r="141" spans="1:14" ht="18.75" customHeight="1">
      <x:c r="A141" s="15" t="s">
        <x:v>67</x:v>
      </x:c>
      <x:c r="B141" s="14" t="s">
        <x:v>62</x:v>
      </x:c>
      <x:c r="C141" s="1">
        <x:v>4</x:v>
      </x:c>
      <x:c r="D141" s="14" t="s">
        <x:v>41</x:v>
      </x:c>
      <x:c r="E141" s="7" t="s">
        <x:v>50</x:v>
      </x:c>
      <x:c r="F141" s="38">
        <x:f>'2026.9.11'!J99</x:f>
        <x:v>0</x:v>
      </x:c>
      <x:c r="G141" s="39">
        <x:f>J7*C141</x:f>
        <x:v>0</x:v>
      </x:c>
      <x:c r="J141" s="36">
        <x:f>F141+I141-G141-H141</x:f>
        <x:v>0</x:v>
      </x:c>
      <x:c r="K141" s="37">
        <x:f>J141/C141</x:f>
        <x:v>0</x:v>
      </x:c>
      <x:c r="L141" s="25" t="str">
        <x:f>IF(J141&lt;M141,119,"")</x:f>
        <x:v/>
      </x:c>
      <x:c r="M141" s="34">
        <x:f>SUM(R7)*C141</x:f>
        <x:v>0</x:v>
      </x:c>
      <x:c r="N141" s="35">
        <x:f>J141-M141</x:f>
        <x:v>0</x:v>
      </x:c>
    </x:row>
    <x:row r="142" spans="1:14" ht="18.75" customHeight="1">
      <x:c r="A142" s="15" t="s">
        <x:v>67</x:v>
      </x:c>
      <x:c r="B142" s="14" t="s">
        <x:v>62</x:v>
      </x:c>
      <x:c r="C142" s="1">
        <x:v>4</x:v>
      </x:c>
      <x:c r="D142" s="14" t="s">
        <x:v>19</x:v>
      </x:c>
      <x:c r="E142" s="7" t="s">
        <x:v>74</x:v>
      </x:c>
      <x:c r="F142" s="38">
        <x:f>'2026.9.11'!J100</x:f>
        <x:v>292</x:v>
      </x:c>
      <x:c r="G142" s="39">
        <x:f>SUM(J8:J9)*C142</x:f>
        <x:v>0</x:v>
      </x:c>
      <x:c r="J142" s="36">
        <x:f>F142+I142-G142-H142</x:f>
        <x:v>292</x:v>
      </x:c>
      <x:c r="K142" s="37">
        <x:f>J142/C142</x:f>
        <x:v>73</x:v>
      </x:c>
      <x:c r="L142" s="25" t="str">
        <x:f>IF(J142&lt;M142,119,"")</x:f>
        <x:v/>
      </x:c>
      <x:c r="M142" s="34">
        <x:f>SUM(R8:R9)*C142</x:f>
        <x:v>80</x:v>
      </x:c>
      <x:c r="N142" s="35">
        <x:f>J142-M142</x:f>
        <x:v>212</x:v>
      </x:c>
    </x:row>
    <x:row r="143" spans="1:14" customFormat="1" ht="18.75" customHeight="1">
      <x:c r="A143" s="15" t="s">
        <x:v>243</x:v>
      </x:c>
      <x:c r="B143" s="14" t="s">
        <x:v>62</x:v>
      </x:c>
      <x:c r="C143" s="6">
        <x:v>8</x:v>
      </x:c>
      <x:c r="D143" s="14" t="s">
        <x:v>262</x:v>
      </x:c>
      <x:c r="E143" s="1" t="s">
        <x:v>69</x:v>
      </x:c>
      <x:c r="F143" s="38">
        <x:f>'2026.9.11'!J101</x:f>
        <x:v>612</x:v>
      </x:c>
      <x:c r="G143" s="33">
        <x:f>SUM(H4:H18)*C143</x:f>
        <x:v>0</x:v>
      </x:c>
      <x:c r="H143" s="6"/>
      <x:c r="I143" s="6"/>
      <x:c r="J143" s="36">
        <x:f>F143+I143-G143-H143</x:f>
        <x:v>612</x:v>
      </x:c>
      <x:c r="K143" s="37">
        <x:f>J143/C143</x:f>
        <x:v>76.5</x:v>
      </x:c>
      <x:c r="L143" s="25" t="str">
        <x:f>IF(J143&lt;M143,119,"")</x:f>
        <x:v/>
      </x:c>
      <x:c r="M143" s="34">
        <x:f>SUM(P4:P18)*C143</x:f>
        <x:v>512</x:v>
      </x:c>
      <x:c r="N143" s="35">
        <x:f>J143-M143</x:f>
        <x:v>100</x:v>
      </x:c>
    </x:row>
    <x:row r="144" spans="1:14" customFormat="1" ht="18.75" customHeight="1">
      <x:c r="A144" s="15" t="s">
        <x:v>243</x:v>
      </x:c>
      <x:c r="B144" s="14" t="s">
        <x:v>62</x:v>
      </x:c>
      <x:c r="C144" s="6">
        <x:v>8</x:v>
      </x:c>
      <x:c r="D144" s="14" t="s">
        <x:v>249</x:v>
      </x:c>
      <x:c r="E144" s="1" t="s">
        <x:v>61</x:v>
      </x:c>
      <x:c r="F144" s="38">
        <x:f>'2026.9.11'!J102</x:f>
        <x:v>246</x:v>
      </x:c>
      <x:c r="G144" s="39">
        <x:f>SUM(H19:H31)*C144</x:f>
        <x:v>0</x:v>
      </x:c>
      <x:c r="H144" s="1"/>
      <x:c r="I144" s="1"/>
      <x:c r="J144" s="36">
        <x:f>F144+I144-G144-H144</x:f>
        <x:v>246</x:v>
      </x:c>
      <x:c r="K144" s="37">
        <x:f>J144/C144</x:f>
        <x:v>30.75</x:v>
      </x:c>
      <x:c r="L144" s="25" t="str">
        <x:f>IF(J144&lt;M144,119,"")</x:f>
        <x:v/>
      </x:c>
      <x:c r="M144" s="34">
        <x:f>SUM(P19:P31)*C143</x:f>
        <x:v>152</x:v>
      </x:c>
      <x:c r="N144" s="35">
        <x:f>J144-M144</x:f>
        <x:v>94</x:v>
      </x:c>
    </x:row>
    <x:row r="145" spans="1:14" customFormat="1" ht="18.75" customHeight="1">
      <x:c r="A145" s="15" t="s">
        <x:v>243</x:v>
      </x:c>
      <x:c r="B145" s="14" t="s">
        <x:v>62</x:v>
      </x:c>
      <x:c r="C145" s="6">
        <x:v>8</x:v>
      </x:c>
      <x:c r="D145" s="14" t="s">
        <x:v>70</x:v>
      </x:c>
      <x:c r="E145" s="7" t="s">
        <x:v>26</x:v>
      </x:c>
      <x:c r="F145" s="38">
        <x:f>'2026.9.11'!J103</x:f>
        <x:v>530</x:v>
      </x:c>
      <x:c r="G145" s="39">
        <x:f>SUM(H32:H35)*C145</x:f>
        <x:v>0</x:v>
      </x:c>
      <x:c r="H145" s="1"/>
      <x:c r="I145" s="1"/>
      <x:c r="J145" s="36">
        <x:f>F145+I145-G145-H145</x:f>
        <x:v>530</x:v>
      </x:c>
      <x:c r="K145" s="37">
        <x:f>J145/C145</x:f>
        <x:v>66.25</x:v>
      </x:c>
      <x:c r="L145" s="25" t="str">
        <x:f>IF(J145&lt;M144,119,"")</x:f>
        <x:v/>
      </x:c>
      <x:c r="M145" s="34">
        <x:f>SUM(P32:P35)*C145</x:f>
        <x:v>136</x:v>
      </x:c>
      <x:c r="N145" s="35">
        <x:f>J145-M145</x:f>
        <x:v>394</x:v>
      </x:c>
    </x:row>
    <x:row r="146" spans="1:14" customFormat="1" ht="18.75" customHeight="1">
      <x:c r="A146" s="15" t="s">
        <x:v>243</x:v>
      </x:c>
      <x:c r="B146" s="14" t="s">
        <x:v>62</x:v>
      </x:c>
      <x:c r="C146" s="6">
        <x:v>5</x:v>
      </x:c>
      <x:c r="D146" s="14" t="s">
        <x:v>244</x:v>
      </x:c>
      <x:c r="E146" s="6" t="s">
        <x:v>78</x:v>
      </x:c>
      <x:c r="F146" s="38">
        <x:f>'2026.9.11'!J104</x:f>
        <x:v>10</x:v>
      </x:c>
      <x:c r="G146" s="39">
        <x:f>SUM(H36)*C146</x:f>
        <x:v>0</x:v>
      </x:c>
      <x:c r="H146" s="1"/>
      <x:c r="I146" s="1"/>
      <x:c r="J146" s="36">
        <x:f>F146+I146-G146-H146</x:f>
        <x:v>10</x:v>
      </x:c>
      <x:c r="K146" s="37">
        <x:f>J146/C146</x:f>
        <x:v>2</x:v>
      </x:c>
      <x:c r="L146" s="25" t="str">
        <x:f>IF(J146&lt;M146,119,"")</x:f>
        <x:v/>
      </x:c>
      <x:c r="M146" s="34">
        <x:f>P36*C146</x:f>
        <x:v>0</x:v>
      </x:c>
      <x:c r="N146" s="35">
        <x:f>J146-M146</x:f>
        <x:v>10</x:v>
      </x:c>
    </x:row>
    <x:row r="147" spans="1:14" customFormat="1" ht="18.75" customHeight="1">
      <x:c r="A147" s="15" t="s">
        <x:v>243</x:v>
      </x:c>
      <x:c r="B147" s="14" t="s">
        <x:v>62</x:v>
      </x:c>
      <x:c r="C147" s="6">
        <x:v>5</x:v>
      </x:c>
      <x:c r="D147" s="14" t="s">
        <x:v>247</x:v>
      </x:c>
      <x:c r="E147" s="6" t="s">
        <x:v>72</x:v>
      </x:c>
      <x:c r="F147" s="38">
        <x:f>'2026.9.11'!J105</x:f>
        <x:v>10</x:v>
      </x:c>
      <x:c r="G147" s="39">
        <x:f>SUM(H37)*C147</x:f>
        <x:v>0</x:v>
      </x:c>
      <x:c r="H147" s="1"/>
      <x:c r="I147" s="1"/>
      <x:c r="J147" s="36">
        <x:f>F147+I147-G147-H147</x:f>
        <x:v>10</x:v>
      </x:c>
      <x:c r="K147" s="37">
        <x:f>J147/C147</x:f>
        <x:v>2</x:v>
      </x:c>
      <x:c r="L147" s="25" t="str">
        <x:f>IF(J147&lt;M147,119,"")</x:f>
        <x:v/>
      </x:c>
      <x:c r="M147" s="34">
        <x:f>P37*C147</x:f>
        <x:v>0</x:v>
      </x:c>
      <x:c r="N147" s="35">
        <x:f>J147-M147</x:f>
        <x:v>10</x:v>
      </x:c>
    </x:row>
    <x:row r="148" spans="1:14" customFormat="1" ht="18.75" customHeight="1">
      <x:c r="A148" s="15" t="s">
        <x:v>243</x:v>
      </x:c>
      <x:c r="B148" s="14" t="s">
        <x:v>62</x:v>
      </x:c>
      <x:c r="C148" s="6">
        <x:v>8</x:v>
      </x:c>
      <x:c r="D148" s="14" t="s">
        <x:v>22</x:v>
      </x:c>
      <x:c r="E148" s="6" t="s">
        <x:v>93</x:v>
      </x:c>
      <x:c r="F148" s="38">
        <x:f>'2026.9.11'!J106</x:f>
        <x:v>0</x:v>
      </x:c>
      <x:c r="G148" s="39">
        <x:f>SUM(H38)*C148</x:f>
        <x:v>0</x:v>
      </x:c>
      <x:c r="H148" s="1"/>
      <x:c r="I148" s="1"/>
      <x:c r="J148" s="36">
        <x:f>F148+I148-G148-H148</x:f>
        <x:v>0</x:v>
      </x:c>
      <x:c r="K148" s="37">
        <x:f>J148/C148</x:f>
        <x:v>0</x:v>
      </x:c>
      <x:c r="L148" s="25" t="str">
        <x:f>IF(J148&lt;M148,119,"")</x:f>
        <x:v/>
      </x:c>
      <x:c r="M148" s="34">
        <x:f>P38*C148</x:f>
        <x:v>0</x:v>
      </x:c>
      <x:c r="N148" s="35">
        <x:f>J148-M148</x:f>
        <x:v>0</x:v>
      </x:c>
    </x:row>
    <x:row r="149" spans="1:14" customFormat="1" ht="18.75" customHeight="1">
      <x:c r="A149" s="15" t="s">
        <x:v>243</x:v>
      </x:c>
      <x:c r="B149" s="14" t="s">
        <x:v>62</x:v>
      </x:c>
      <x:c r="C149" s="6">
        <x:v>8</x:v>
      </x:c>
      <x:c r="D149" s="14" t="s">
        <x:v>96</x:v>
      </x:c>
      <x:c r="E149" s="6" t="s">
        <x:v>102</x:v>
      </x:c>
      <x:c r="F149" s="38">
        <x:f>'2026.9.11'!J107</x:f>
        <x:v>16</x:v>
      </x:c>
      <x:c r="G149" s="39">
        <x:f>SUM(H39)*C149</x:f>
        <x:v>0</x:v>
      </x:c>
      <x:c r="H149" s="1"/>
      <x:c r="I149" s="1"/>
      <x:c r="J149" s="36">
        <x:f>F149+I149-G149-H149</x:f>
        <x:v>16</x:v>
      </x:c>
      <x:c r="K149" s="37">
        <x:f>J149/C149</x:f>
        <x:v>2</x:v>
      </x:c>
      <x:c r="L149" s="25" t="str">
        <x:f>IF(J149&lt;M149,119,"")</x:f>
        <x:v/>
      </x:c>
      <x:c r="M149" s="34">
        <x:f>P39*C149</x:f>
        <x:v>0</x:v>
      </x:c>
      <x:c r="N149" s="35">
        <x:f>J149-M149</x:f>
        <x:v>16</x:v>
      </x:c>
    </x:row>
    <x:row r="150" spans="1:14" customFormat="1" ht="18.75" customHeight="1">
      <x:c r="A150" s="15" t="s">
        <x:v>243</x:v>
      </x:c>
      <x:c r="B150" s="14" t="s">
        <x:v>62</x:v>
      </x:c>
      <x:c r="C150" s="1">
        <x:v>5</x:v>
      </x:c>
      <x:c r="D150" s="14" t="s">
        <x:v>83</x:v>
      </x:c>
      <x:c r="E150" s="7" t="s">
        <x:v>82</x:v>
      </x:c>
      <x:c r="F150" s="38">
        <x:f>'2026.9.11'!J108</x:f>
        <x:v>180</x:v>
      </x:c>
      <x:c r="G150" s="39">
        <x:f>J6*C150</x:f>
        <x:v>0</x:v>
      </x:c>
      <x:c r="H150" s="1"/>
      <x:c r="I150" s="1"/>
      <x:c r="J150" s="36">
        <x:f>F150+I150-G150-H150</x:f>
        <x:v>180</x:v>
      </x:c>
      <x:c r="K150" s="37">
        <x:f>J150/C150</x:f>
        <x:v>36</x:v>
      </x:c>
      <x:c r="L150" s="25" t="str">
        <x:f>IF(J150&lt;M150,119,"")</x:f>
        <x:v/>
      </x:c>
      <x:c r="M150" s="34">
        <x:f>R6*C150</x:f>
        <x:v>65</x:v>
      </x:c>
      <x:c r="N150" s="35">
        <x:f>J150-M150</x:f>
        <x:v>115</x:v>
      </x:c>
    </x:row>
    <x:row r="151" spans="1:14" customFormat="1" ht="18.75" customHeight="1">
      <x:c r="A151" s="15" t="s">
        <x:v>243</x:v>
      </x:c>
      <x:c r="B151" s="14" t="s">
        <x:v>62</x:v>
      </x:c>
      <x:c r="C151" s="1">
        <x:v>5</x:v>
      </x:c>
      <x:c r="D151" s="14" t="s">
        <x:v>41</x:v>
      </x:c>
      <x:c r="E151" s="7" t="s">
        <x:v>48</x:v>
      </x:c>
      <x:c r="F151" s="38">
        <x:f>'2026.9.11'!J109</x:f>
        <x:v>5</x:v>
      </x:c>
      <x:c r="G151" s="39">
        <x:f>J7*C151</x:f>
        <x:v>0</x:v>
      </x:c>
      <x:c r="H151" s="1"/>
      <x:c r="I151" s="1"/>
      <x:c r="J151" s="36">
        <x:f>F151+I151-G151-H151</x:f>
        <x:v>5</x:v>
      </x:c>
      <x:c r="K151" s="37">
        <x:f>J151/C151</x:f>
        <x:v>1</x:v>
      </x:c>
      <x:c r="L151" s="25" t="str">
        <x:f>IF(J151&lt;M151,119,"")</x:f>
        <x:v/>
      </x:c>
      <x:c r="M151" s="34">
        <x:f>R7*C151</x:f>
        <x:v>0</x:v>
      </x:c>
      <x:c r="N151" s="35">
        <x:f>J151-M151</x:f>
        <x:v>5</x:v>
      </x:c>
    </x:row>
    <x:row r="152" spans="1:14" customFormat="1" ht="18.75" customHeight="1">
      <x:c r="A152" s="15" t="s">
        <x:v>243</x:v>
      </x:c>
      <x:c r="B152" s="14" t="s">
        <x:v>62</x:v>
      </x:c>
      <x:c r="C152" s="1">
        <x:v>5</x:v>
      </x:c>
      <x:c r="D152" s="14" t="s">
        <x:v>19</x:v>
      </x:c>
      <x:c r="E152" s="7" t="s">
        <x:v>97</x:v>
      </x:c>
      <x:c r="F152" s="38">
        <x:f>'2026.9.11'!J110</x:f>
        <x:v>345</x:v>
      </x:c>
      <x:c r="G152" s="39">
        <x:f>SUM(J8:J9)*C152</x:f>
        <x:v>0</x:v>
      </x:c>
      <x:c r="H152" s="1"/>
      <x:c r="I152" s="1"/>
      <x:c r="J152" s="36">
        <x:f>F152+I152-G152-H152</x:f>
        <x:v>345</x:v>
      </x:c>
      <x:c r="K152" s="37">
        <x:f>J152/C152</x:f>
        <x:v>69</x:v>
      </x:c>
      <x:c r="L152" s="25" t="str">
        <x:f>IF(J152&lt;M152,119,"")</x:f>
        <x:v/>
      </x:c>
      <x:c r="M152" s="34">
        <x:f>SUM(R8:R9)*C152</x:f>
        <x:v>100</x:v>
      </x:c>
      <x:c r="N152" s="35">
        <x:f>J152-M152</x:f>
        <x:v>245</x:v>
      </x:c>
    </x:row>
    <x:row r="153" spans="1:14" customFormat="1" ht="18.75" customHeight="1">
      <x:c r="A153" s="15" t="s">
        <x:v>38</x:v>
      </x:c>
      <x:c r="B153" s="14" t="s">
        <x:v>156</x:v>
      </x:c>
      <x:c r="C153" s="6">
        <x:v>2</x:v>
      </x:c>
      <x:c r="D153" s="14" t="s">
        <x:v>262</x:v>
      </x:c>
      <x:c r="E153" s="1" t="s">
        <x:v>120</x:v>
      </x:c>
      <x:c r="F153" s="38">
        <x:f>'2026.9.11'!J111</x:f>
        <x:v>79</x:v>
      </x:c>
      <x:c r="G153" s="33">
        <x:f>SUM(H4:H18)*C153</x:f>
        <x:v>0</x:v>
      </x:c>
      <x:c r="H153" s="6"/>
      <x:c r="I153" s="6"/>
      <x:c r="J153" s="36">
        <x:f>F153+I153-G153-H153</x:f>
        <x:v>79</x:v>
      </x:c>
      <x:c r="K153" s="37">
        <x:f>J153/C153</x:f>
        <x:v>39.5</x:v>
      </x:c>
      <x:c r="L153" s="25">
        <x:f>IF(J153&lt;M153,119,"")</x:f>
        <x:v>119</x:v>
      </x:c>
      <x:c r="M153" s="34">
        <x:f>SUM(P4:P18)*C153</x:f>
        <x:v>128</x:v>
      </x:c>
      <x:c r="N153" s="35">
        <x:f>J153-M153</x:f>
        <x:v>-49</x:v>
      </x:c>
    </x:row>
    <x:row r="154" spans="1:14" customFormat="1" ht="18.75" customHeight="1">
      <x:c r="A154" s="15" t="s">
        <x:v>38</x:v>
      </x:c>
      <x:c r="B154" s="14" t="s">
        <x:v>156</x:v>
      </x:c>
      <x:c r="C154" s="6">
        <x:v>2</x:v>
      </x:c>
      <x:c r="D154" s="14" t="s">
        <x:v>249</x:v>
      </x:c>
      <x:c r="E154" s="1" t="s">
        <x:v>64</x:v>
      </x:c>
      <x:c r="F154" s="38">
        <x:f>'2026.9.11'!J112</x:f>
        <x:v>116</x:v>
      </x:c>
      <x:c r="G154" s="39">
        <x:f>SUM(H19:H31)*C154</x:f>
        <x:v>0</x:v>
      </x:c>
      <x:c r="H154" s="1"/>
      <x:c r="I154" s="1"/>
      <x:c r="J154" s="36">
        <x:f>F154+I154-G154-H154</x:f>
        <x:v>116</x:v>
      </x:c>
      <x:c r="K154" s="37">
        <x:f>J154/C154</x:f>
        <x:v>58</x:v>
      </x:c>
      <x:c r="L154" s="25" t="str">
        <x:f>IF(J154&lt;M154,119,"")</x:f>
        <x:v/>
      </x:c>
      <x:c r="M154" s="34">
        <x:f>SUM(P19:P31)*C154</x:f>
        <x:v>38</x:v>
      </x:c>
      <x:c r="N154" s="35">
        <x:f>J154-M154</x:f>
        <x:v>78</x:v>
      </x:c>
    </x:row>
    <x:row r="155" spans="1:14" customFormat="1" ht="18.75" customHeight="1">
      <x:c r="A155" s="15" t="s">
        <x:v>38</x:v>
      </x:c>
      <x:c r="B155" s="14" t="s">
        <x:v>156</x:v>
      </x:c>
      <x:c r="C155" s="6">
        <x:v>2</x:v>
      </x:c>
      <x:c r="D155" s="14" t="s">
        <x:v>70</x:v>
      </x:c>
      <x:c r="E155" s="7" t="s">
        <x:v>63</x:v>
      </x:c>
      <x:c r="F155" s="38">
        <x:f>'2026.9.11'!J113</x:f>
        <x:v>70</x:v>
      </x:c>
      <x:c r="G155" s="39">
        <x:f>SUM(H32:H35)*C155</x:f>
        <x:v>0</x:v>
      </x:c>
      <x:c r="H155" s="1"/>
      <x:c r="I155" s="1"/>
      <x:c r="J155" s="36">
        <x:f>F155+I155-G155-H155</x:f>
        <x:v>70</x:v>
      </x:c>
      <x:c r="K155" s="37">
        <x:f>J155/C155</x:f>
        <x:v>35</x:v>
      </x:c>
      <x:c r="L155" s="25" t="str">
        <x:f>IF(J155&lt;M155,119,"")</x:f>
        <x:v/>
      </x:c>
      <x:c r="M155" s="34">
        <x:f>SUM(P32:P35)*C155</x:f>
        <x:v>34</x:v>
      </x:c>
      <x:c r="N155" s="35">
        <x:f>J155-M155</x:f>
        <x:v>36</x:v>
      </x:c>
    </x:row>
    <x:row r="156" spans="1:14" customFormat="1" ht="18.75" customHeight="1">
      <x:c r="A156" s="15" t="s">
        <x:v>38</x:v>
      </x:c>
      <x:c r="B156" s="14" t="s">
        <x:v>156</x:v>
      </x:c>
      <x:c r="C156" s="6">
        <x:v>2</x:v>
      </x:c>
      <x:c r="D156" s="14" t="s">
        <x:v>244</x:v>
      </x:c>
      <x:c r="E156" s="6" t="s">
        <x:v>108</x:v>
      </x:c>
      <x:c r="F156" s="38">
        <x:f>'2026.9.11'!J114</x:f>
        <x:v>0</x:v>
      </x:c>
      <x:c r="G156" s="39">
        <x:f>H36*C156</x:f>
        <x:v>0</x:v>
      </x:c>
      <x:c r="H156" s="1"/>
      <x:c r="I156" s="1"/>
      <x:c r="J156" s="36">
        <x:f>F156+I156-G156-H156</x:f>
        <x:v>0</x:v>
      </x:c>
      <x:c r="K156" s="37">
        <x:f>J156/C156</x:f>
        <x:v>0</x:v>
      </x:c>
      <x:c r="L156" s="25" t="str">
        <x:f>IF(J156&lt;M156,119,"")</x:f>
        <x:v/>
      </x:c>
      <x:c r="M156" s="34">
        <x:f>P36*C156</x:f>
        <x:v>0</x:v>
      </x:c>
      <x:c r="N156" s="35">
        <x:f>J156-M156</x:f>
        <x:v>0</x:v>
      </x:c>
    </x:row>
    <x:row r="157" spans="1:14" customFormat="1" ht="18.75" customHeight="1">
      <x:c r="A157" s="15" t="s">
        <x:v>38</x:v>
      </x:c>
      <x:c r="B157" s="14" t="s">
        <x:v>156</x:v>
      </x:c>
      <x:c r="C157" s="6">
        <x:v>2</x:v>
      </x:c>
      <x:c r="D157" s="14" t="s">
        <x:v>247</x:v>
      </x:c>
      <x:c r="E157" s="6" t="s">
        <x:v>88</x:v>
      </x:c>
      <x:c r="F157" s="38">
        <x:f>'2026.9.11'!J115</x:f>
        <x:v>0</x:v>
      </x:c>
      <x:c r="G157" s="39">
        <x:f>H37*C157</x:f>
        <x:v>0</x:v>
      </x:c>
      <x:c r="H157" s="1"/>
      <x:c r="I157" s="1"/>
      <x:c r="J157" s="36">
        <x:f>F157+I157-G157-H157</x:f>
        <x:v>0</x:v>
      </x:c>
      <x:c r="K157" s="37">
        <x:f>J157/C157</x:f>
        <x:v>0</x:v>
      </x:c>
      <x:c r="L157" s="25" t="str">
        <x:f>IF(J157&lt;M157,119,"")</x:f>
        <x:v/>
      </x:c>
      <x:c r="M157" s="34">
        <x:f>P37*C157</x:f>
        <x:v>0</x:v>
      </x:c>
      <x:c r="N157" s="35">
        <x:f>J157-M157</x:f>
        <x:v>0</x:v>
      </x:c>
    </x:row>
    <x:row r="158" spans="1:14" customFormat="1" ht="18.75" customHeight="1">
      <x:c r="A158" s="15" t="s">
        <x:v>38</x:v>
      </x:c>
      <x:c r="B158" s="14" t="s">
        <x:v>156</x:v>
      </x:c>
      <x:c r="C158" s="6">
        <x:v>2</x:v>
      </x:c>
      <x:c r="D158" s="14" t="s">
        <x:v>22</x:v>
      </x:c>
      <x:c r="E158" s="6" t="s">
        <x:v>99</x:v>
      </x:c>
      <x:c r="F158" s="38">
        <x:f>'2026.9.11'!J116</x:f>
        <x:v>0</x:v>
      </x:c>
      <x:c r="G158" s="39">
        <x:f>H38*C158</x:f>
        <x:v>0</x:v>
      </x:c>
      <x:c r="H158" s="1"/>
      <x:c r="I158" s="1"/>
      <x:c r="J158" s="36">
        <x:f>F158+I158-G158-H158</x:f>
        <x:v>0</x:v>
      </x:c>
      <x:c r="K158" s="37">
        <x:f>J158/C158</x:f>
        <x:v>0</x:v>
      </x:c>
      <x:c r="L158" s="25" t="str">
        <x:f>IF(J158&lt;M158,119,"")</x:f>
        <x:v/>
      </x:c>
      <x:c r="M158" s="34">
        <x:f>P38*C158</x:f>
        <x:v>0</x:v>
      </x:c>
      <x:c r="N158" s="35">
        <x:f>J158-M158</x:f>
        <x:v>0</x:v>
      </x:c>
    </x:row>
    <x:row r="159" spans="1:14" customFormat="1" ht="18.75" customHeight="1">
      <x:c r="A159" s="15" t="s">
        <x:v>38</x:v>
      </x:c>
      <x:c r="B159" s="14" t="s">
        <x:v>156</x:v>
      </x:c>
      <x:c r="C159" s="6">
        <x:v>2</x:v>
      </x:c>
      <x:c r="D159" s="14" t="s">
        <x:v>96</x:v>
      </x:c>
      <x:c r="E159" s="6" t="s">
        <x:v>104</x:v>
      </x:c>
      <x:c r="F159" s="38">
        <x:f>'2026.9.11'!J117</x:f>
        <x:v>4</x:v>
      </x:c>
      <x:c r="G159" s="39">
        <x:f>H39*C159</x:f>
        <x:v>0</x:v>
      </x:c>
      <x:c r="H159" s="1"/>
      <x:c r="I159" s="1"/>
      <x:c r="J159" s="36">
        <x:f>F159+I159-G159-H159</x:f>
        <x:v>4</x:v>
      </x:c>
      <x:c r="K159" s="37">
        <x:f>J159/C159</x:f>
        <x:v>2</x:v>
      </x:c>
      <x:c r="L159" s="25" t="str">
        <x:f>IF(J159&lt;M159,119,"")</x:f>
        <x:v/>
      </x:c>
      <x:c r="M159" s="34">
        <x:f>P39*C159</x:f>
        <x:v>0</x:v>
      </x:c>
      <x:c r="N159" s="35">
        <x:f>J159-M159</x:f>
        <x:v>4</x:v>
      </x:c>
    </x:row>
    <x:row r="160" spans="1:14" customFormat="1" ht="18.75" customHeight="1">
      <x:c r="A160" s="15" t="s">
        <x:v>38</x:v>
      </x:c>
      <x:c r="B160" s="14" t="s">
        <x:v>156</x:v>
      </x:c>
      <x:c r="C160" s="1">
        <x:v>2</x:v>
      </x:c>
      <x:c r="D160" s="14" t="s">
        <x:v>83</x:v>
      </x:c>
      <x:c r="E160" s="1" t="s">
        <x:v>236</x:v>
      </x:c>
      <x:c r="F160" s="38">
        <x:f>'2026.9.11'!J118</x:f>
        <x:v>68</x:v>
      </x:c>
      <x:c r="G160" s="39">
        <x:f>J6*C160</x:f>
        <x:v>0</x:v>
      </x:c>
      <x:c r="H160" s="1"/>
      <x:c r="I160" s="1"/>
      <x:c r="J160" s="36">
        <x:f>F160+I160-G160-H160</x:f>
        <x:v>68</x:v>
      </x:c>
      <x:c r="K160" s="37">
        <x:f>J160/C160</x:f>
        <x:v>34</x:v>
      </x:c>
      <x:c r="L160" s="25" t="str">
        <x:f>IF(J160&lt;M160,119,"")</x:f>
        <x:v/>
      </x:c>
      <x:c r="M160" s="34">
        <x:f>R6*C160</x:f>
        <x:v>26</x:v>
      </x:c>
      <x:c r="N160" s="35">
        <x:f>J160-M160</x:f>
        <x:v>42</x:v>
      </x:c>
    </x:row>
    <x:row r="161" spans="1:14" customFormat="1" ht="18.75" customHeight="1">
      <x:c r="A161" s="15" t="s">
        <x:v>38</x:v>
      </x:c>
      <x:c r="B161" s="14" t="s">
        <x:v>156</x:v>
      </x:c>
      <x:c r="C161" s="1">
        <x:v>2</x:v>
      </x:c>
      <x:c r="D161" s="14" t="s">
        <x:v>41</x:v>
      </x:c>
      <x:c r="E161" s="7" t="s">
        <x:v>258</x:v>
      </x:c>
      <x:c r="F161" s="38">
        <x:f>'2026.9.11'!J119</x:f>
        <x:v>0</x:v>
      </x:c>
      <x:c r="G161" s="39">
        <x:f>J7*C161</x:f>
        <x:v>0</x:v>
      </x:c>
      <x:c r="H161" s="1"/>
      <x:c r="I161" s="1"/>
      <x:c r="J161" s="36">
        <x:f>F161+I161-G161-H161</x:f>
        <x:v>0</x:v>
      </x:c>
      <x:c r="K161" s="37">
        <x:f>J161/C161</x:f>
        <x:v>0</x:v>
      </x:c>
      <x:c r="L161" s="25" t="str">
        <x:f>IF(J161&lt;M161,119,"")</x:f>
        <x:v/>
      </x:c>
      <x:c r="M161" s="34">
        <x:f>R7*C161</x:f>
        <x:v>0</x:v>
      </x:c>
      <x:c r="N161" s="35">
        <x:f>J161-M161</x:f>
        <x:v>0</x:v>
      </x:c>
    </x:row>
    <x:row r="162" spans="1:14" customFormat="1" ht="18.75" customHeight="1">
      <x:c r="A162" s="15" t="s">
        <x:v>38</x:v>
      </x:c>
      <x:c r="B162" s="14" t="s">
        <x:v>156</x:v>
      </x:c>
      <x:c r="C162" s="1">
        <x:v>2</x:v>
      </x:c>
      <x:c r="D162" s="14" t="s">
        <x:v>47</x:v>
      </x:c>
      <x:c r="E162" s="7" t="s">
        <x:v>232</x:v>
      </x:c>
      <x:c r="F162" s="38">
        <x:f>'2026.9.11'!J120</x:f>
        <x:v>84</x:v>
      </x:c>
      <x:c r="G162" s="39">
        <x:f>J8*C162</x:f>
        <x:v>0</x:v>
      </x:c>
      <x:c r="H162" s="1"/>
      <x:c r="I162" s="1"/>
      <x:c r="J162" s="36">
        <x:f>F162+I162-G162-H162</x:f>
        <x:v>84</x:v>
      </x:c>
      <x:c r="K162" s="37">
        <x:f>J162/C162</x:f>
        <x:v>42</x:v>
      </x:c>
      <x:c r="L162" s="25" t="str">
        <x:f>IF(J162&lt;M162,119,"")</x:f>
        <x:v/>
      </x:c>
      <x:c r="M162" s="34">
        <x:f>R8*C162</x:f>
        <x:v>20</x:v>
      </x:c>
      <x:c r="N162" s="35">
        <x:f>J162-M162</x:f>
        <x:v>64</x:v>
      </x:c>
    </x:row>
    <x:row r="163" spans="1:14" ht="18.75" customHeight="1">
      <x:c r="A163" s="15" t="s">
        <x:v>38</x:v>
      </x:c>
      <x:c r="B163" s="14" t="s">
        <x:v>156</x:v>
      </x:c>
      <x:c r="C163" s="1">
        <x:v>2</x:v>
      </x:c>
      <x:c r="D163" s="9" t="s">
        <x:v>73</x:v>
      </x:c>
      <x:c r="E163" s="7" t="s">
        <x:v>52</x:v>
      </x:c>
      <x:c r="F163" s="38">
        <x:f>'2026.9.11'!J121</x:f>
        <x:v>67</x:v>
      </x:c>
      <x:c r="G163" s="39">
        <x:f>J9*C163</x:f>
        <x:v>0</x:v>
      </x:c>
      <x:c r="J163" s="36">
        <x:f>F163+I163-G163-H163</x:f>
        <x:v>67</x:v>
      </x:c>
      <x:c r="K163" s="37">
        <x:f>J163/C163</x:f>
        <x:v>33.5</x:v>
      </x:c>
      <x:c r="L163" s="25" t="str">
        <x:f>IF(J163&lt;M163,119,"")</x:f>
        <x:v/>
      </x:c>
      <x:c r="M163" s="34">
        <x:f>R9*C163</x:f>
        <x:v>20</x:v>
      </x:c>
      <x:c r="N163" s="35">
        <x:f>J163-M163</x:f>
        <x:v>47</x:v>
      </x:c>
    </x:row>
    <x:row r="164" spans="1:14" customFormat="1" ht="18.75" customHeight="1">
      <x:c r="A164" s="15" t="s">
        <x:v>253</x:v>
      </x:c>
      <x:c r="B164" s="14" t="s">
        <x:v>143</x:v>
      </x:c>
      <x:c r="C164" s="6">
        <x:v>2</x:v>
      </x:c>
      <x:c r="D164" s="14" t="s">
        <x:v>262</x:v>
      </x:c>
      <x:c r="E164" s="1" t="s">
        <x:v>201</x:v>
      </x:c>
      <x:c r="F164" s="38">
        <x:f>'2026.9.11'!J122</x:f>
        <x:v>36</x:v>
      </x:c>
      <x:c r="G164" s="33">
        <x:f>SUM(H4:H18)*C164</x:f>
        <x:v>0</x:v>
      </x:c>
      <x:c r="H164" s="6"/>
      <x:c r="I164" s="6"/>
      <x:c r="J164" s="36">
        <x:f>F164+I164-G164-H164</x:f>
        <x:v>36</x:v>
      </x:c>
      <x:c r="K164" s="37">
        <x:f>J164/C164</x:f>
        <x:v>18</x:v>
      </x:c>
      <x:c r="L164" s="25">
        <x:f>IF(J164&lt;M164,119,"")</x:f>
        <x:v>119</x:v>
      </x:c>
      <x:c r="M164" s="34">
        <x:f>SUM(P4:P18)*C164</x:f>
        <x:v>128</x:v>
      </x:c>
      <x:c r="N164" s="35">
        <x:f>J164-M164</x:f>
        <x:v>-92</x:v>
      </x:c>
    </x:row>
    <x:row r="165" spans="1:14" customFormat="1" ht="18.75" customHeight="1">
      <x:c r="A165" s="15" t="s">
        <x:v>253</x:v>
      </x:c>
      <x:c r="B165" s="14" t="s">
        <x:v>143</x:v>
      </x:c>
      <x:c r="C165" s="6">
        <x:v>2</x:v>
      </x:c>
      <x:c r="D165" s="14" t="s">
        <x:v>249</x:v>
      </x:c>
      <x:c r="E165" s="1" t="s">
        <x:v>150</x:v>
      </x:c>
      <x:c r="F165" s="38">
        <x:f>'2026.9.11'!J123</x:f>
        <x:v>177</x:v>
      </x:c>
      <x:c r="G165" s="39">
        <x:f>SUM(H19:H31)*C165</x:f>
        <x:v>0</x:v>
      </x:c>
      <x:c r="H165" s="1"/>
      <x:c r="I165" s="1"/>
      <x:c r="J165" s="36">
        <x:f>F165+I165-G165-H165</x:f>
        <x:v>177</x:v>
      </x:c>
      <x:c r="K165" s="37">
        <x:f>J165/C165</x:f>
        <x:v>88.5</x:v>
      </x:c>
      <x:c r="L165" s="25" t="str">
        <x:f>IF(J165&lt;M165,119,"")</x:f>
        <x:v/>
      </x:c>
      <x:c r="M165" s="34">
        <x:f>SUM(P19:P31)*C165</x:f>
        <x:v>38</x:v>
      </x:c>
      <x:c r="N165" s="35">
        <x:f>J165-M165</x:f>
        <x:v>139</x:v>
      </x:c>
    </x:row>
    <x:row r="166" spans="1:14" customFormat="1" ht="18.75" customHeight="1">
      <x:c r="A166" s="15" t="s">
        <x:v>253</x:v>
      </x:c>
      <x:c r="B166" s="14" t="s">
        <x:v>143</x:v>
      </x:c>
      <x:c r="C166" s="6">
        <x:v>2</x:v>
      </x:c>
      <x:c r="D166" s="14" t="s">
        <x:v>70</x:v>
      </x:c>
      <x:c r="E166" s="7" t="s">
        <x:v>148</x:v>
      </x:c>
      <x:c r="F166" s="38">
        <x:f>'2026.9.11'!J124</x:f>
        <x:v>65</x:v>
      </x:c>
      <x:c r="G166" s="39">
        <x:f>SUM(H32:H35)*C166</x:f>
        <x:v>0</x:v>
      </x:c>
      <x:c r="H166" s="1"/>
      <x:c r="I166" s="1"/>
      <x:c r="J166" s="36">
        <x:f>F166+I166-G166-H166</x:f>
        <x:v>65</x:v>
      </x:c>
      <x:c r="K166" s="37">
        <x:f>J166/C166</x:f>
        <x:v>32.5</x:v>
      </x:c>
      <x:c r="L166" s="25" t="str">
        <x:f>IF(J166&lt;M166,119,"")</x:f>
        <x:v/>
      </x:c>
      <x:c r="M166" s="34">
        <x:f>SUM(P32:P35)*C166</x:f>
        <x:v>34</x:v>
      </x:c>
      <x:c r="N166" s="35">
        <x:f>J166-M166</x:f>
        <x:v>31</x:v>
      </x:c>
    </x:row>
    <x:row r="167" spans="1:14" customFormat="1" ht="18.75" customHeight="1">
      <x:c r="A167" s="15" t="s">
        <x:v>253</x:v>
      </x:c>
      <x:c r="B167" s="14" t="s">
        <x:v>143</x:v>
      </x:c>
      <x:c r="C167" s="6">
        <x:v>1</x:v>
      </x:c>
      <x:c r="D167" s="14" t="s">
        <x:v>244</x:v>
      </x:c>
      <x:c r="E167" s="6" t="s">
        <x:v>185</x:v>
      </x:c>
      <x:c r="F167" s="38">
        <x:f>'2026.9.11'!J125</x:f>
        <x:v>0</x:v>
      </x:c>
      <x:c r="G167" s="39">
        <x:f>H36*C167</x:f>
        <x:v>0</x:v>
      </x:c>
      <x:c r="H167" s="1"/>
      <x:c r="I167" s="1"/>
      <x:c r="J167" s="36">
        <x:f>F167+I167-G167-H167</x:f>
        <x:v>0</x:v>
      </x:c>
      <x:c r="K167" s="37">
        <x:f>J167/C167</x:f>
        <x:v>0</x:v>
      </x:c>
      <x:c r="L167" s="25" t="str">
        <x:f>IF(J167&lt;M167,119,"")</x:f>
        <x:v/>
      </x:c>
      <x:c r="M167" s="34">
        <x:f>P36*C167</x:f>
        <x:v>0</x:v>
      </x:c>
      <x:c r="N167" s="35">
        <x:f>J167-M167</x:f>
        <x:v>0</x:v>
      </x:c>
    </x:row>
    <x:row r="168" spans="1:14" customFormat="1" ht="18.75" customHeight="1">
      <x:c r="A168" s="15" t="s">
        <x:v>253</x:v>
      </x:c>
      <x:c r="B168" s="14" t="s">
        <x:v>143</x:v>
      </x:c>
      <x:c r="C168" s="6">
        <x:v>1</x:v>
      </x:c>
      <x:c r="D168" s="14" t="s">
        <x:v>247</x:v>
      </x:c>
      <x:c r="E168" s="6" t="s">
        <x:v>196</x:v>
      </x:c>
      <x:c r="F168" s="38">
        <x:f>'2026.9.11'!J126</x:f>
        <x:v>0</x:v>
      </x:c>
      <x:c r="G168" s="39">
        <x:f>H37*C168</x:f>
        <x:v>0</x:v>
      </x:c>
      <x:c r="H168" s="1"/>
      <x:c r="I168" s="1"/>
      <x:c r="J168" s="36">
        <x:f>F168+I168-G168-H168</x:f>
        <x:v>0</x:v>
      </x:c>
      <x:c r="K168" s="37">
        <x:f>J168/C168</x:f>
        <x:v>0</x:v>
      </x:c>
      <x:c r="L168" s="25" t="str">
        <x:f>IF(J168&lt;M168,119,"")</x:f>
        <x:v/>
      </x:c>
      <x:c r="M168" s="34">
        <x:f>P37*C168</x:f>
        <x:v>0</x:v>
      </x:c>
      <x:c r="N168" s="35">
        <x:f>J168-M168</x:f>
        <x:v>0</x:v>
      </x:c>
    </x:row>
    <x:row r="169" spans="1:14" customFormat="1" ht="18.75" customHeight="1">
      <x:c r="A169" s="15" t="s">
        <x:v>253</x:v>
      </x:c>
      <x:c r="B169" s="14" t="s">
        <x:v>143</x:v>
      </x:c>
      <x:c r="C169" s="6">
        <x:v>2</x:v>
      </x:c>
      <x:c r="D169" s="14" t="s">
        <x:v>22</x:v>
      </x:c>
      <x:c r="E169" s="6" t="s">
        <x:v>215</x:v>
      </x:c>
      <x:c r="F169" s="38">
        <x:f>'2026.9.11'!J127</x:f>
        <x:v>0</x:v>
      </x:c>
      <x:c r="G169" s="39">
        <x:f>H38*C169</x:f>
        <x:v>0</x:v>
      </x:c>
      <x:c r="H169" s="1"/>
      <x:c r="I169" s="1"/>
      <x:c r="J169" s="36">
        <x:f>F169+I169-G169-H169</x:f>
        <x:v>0</x:v>
      </x:c>
      <x:c r="K169" s="37">
        <x:f>J169/C169</x:f>
        <x:v>0</x:v>
      </x:c>
      <x:c r="L169" s="25" t="str">
        <x:f>IF(J169&lt;M169,119,"")</x:f>
        <x:v/>
      </x:c>
      <x:c r="M169" s="34">
        <x:f>P38*C169</x:f>
        <x:v>0</x:v>
      </x:c>
      <x:c r="N169" s="35">
        <x:f>J169-M169</x:f>
        <x:v>0</x:v>
      </x:c>
    </x:row>
    <x:row r="170" spans="1:14" customFormat="1" ht="18.75" customHeight="1">
      <x:c r="A170" s="15" t="s">
        <x:v>253</x:v>
      </x:c>
      <x:c r="B170" s="14" t="s">
        <x:v>143</x:v>
      </x:c>
      <x:c r="C170" s="6">
        <x:v>2</x:v>
      </x:c>
      <x:c r="D170" s="14" t="s">
        <x:v>96</x:v>
      </x:c>
      <x:c r="E170" s="6" t="s">
        <x:v>206</x:v>
      </x:c>
      <x:c r="F170" s="38">
        <x:f>'2026.9.11'!J128</x:f>
        <x:v>4</x:v>
      </x:c>
      <x:c r="G170" s="39">
        <x:f>H39*C170</x:f>
        <x:v>0</x:v>
      </x:c>
      <x:c r="H170" s="1"/>
      <x:c r="I170" s="1"/>
      <x:c r="J170" s="36">
        <x:f>F170+I170-G170-H170</x:f>
        <x:v>4</x:v>
      </x:c>
      <x:c r="K170" s="37">
        <x:f>J170/C170</x:f>
        <x:v>2</x:v>
      </x:c>
      <x:c r="L170" s="25" t="str">
        <x:f>IF(J170&lt;M170,119,"")</x:f>
        <x:v/>
      </x:c>
      <x:c r="M170" s="34">
        <x:f>P39*C170</x:f>
        <x:v>0</x:v>
      </x:c>
      <x:c r="N170" s="35">
        <x:f>J170-M170</x:f>
        <x:v>4</x:v>
      </x:c>
    </x:row>
    <x:row r="171" spans="1:14" customFormat="1" ht="18.75" customHeight="1">
      <x:c r="A171" s="15" t="s">
        <x:v>253</x:v>
      </x:c>
      <x:c r="B171" s="14" t="s">
        <x:v>137</x:v>
      </x:c>
      <x:c r="C171" s="1">
        <x:v>1</x:v>
      </x:c>
      <x:c r="D171" s="14" t="s">
        <x:v>83</x:v>
      </x:c>
      <x:c r="E171" s="1" t="s">
        <x:v>126</x:v>
      </x:c>
      <x:c r="F171" s="38">
        <x:f>'2026.9.11'!J129</x:f>
        <x:v>0</x:v>
      </x:c>
      <x:c r="G171" s="39">
        <x:f>J6*C171</x:f>
        <x:v>0</x:v>
      </x:c>
      <x:c r="H171" s="1"/>
      <x:c r="I171" s="1"/>
      <x:c r="J171" s="36">
        <x:f>F171+I171-G171-H171</x:f>
        <x:v>0</x:v>
      </x:c>
      <x:c r="K171" s="37">
        <x:f>J171/C171</x:f>
        <x:v>0</x:v>
      </x:c>
      <x:c r="L171" s="25">
        <x:f>IF(J171&lt;M171,119,"")</x:f>
        <x:v>119</x:v>
      </x:c>
      <x:c r="M171" s="34">
        <x:f>R6*C171</x:f>
        <x:v>13</x:v>
      </x:c>
      <x:c r="N171" s="35">
        <x:f>J171-M171</x:f>
        <x:v>-13</x:v>
      </x:c>
    </x:row>
    <x:row r="172" spans="1:14" customFormat="1" ht="18.75" customHeight="1">
      <x:c r="A172" s="15" t="s">
        <x:v>253</x:v>
      </x:c>
      <x:c r="B172" s="14" t="s">
        <x:v>137</x:v>
      </x:c>
      <x:c r="C172" s="1">
        <x:v>1</x:v>
      </x:c>
      <x:c r="D172" s="14" t="s">
        <x:v>41</x:v>
      </x:c>
      <x:c r="E172" s="7" t="s">
        <x:v>131</x:v>
      </x:c>
      <x:c r="F172" s="38">
        <x:f>'2026.9.11'!J130</x:f>
        <x:v>3</x:v>
      </x:c>
      <x:c r="G172" s="39">
        <x:f>J7*C172</x:f>
        <x:v>0</x:v>
      </x:c>
      <x:c r="H172" s="1"/>
      <x:c r="I172" s="1"/>
      <x:c r="J172" s="36">
        <x:f>F172+I172-G172-H172</x:f>
        <x:v>3</x:v>
      </x:c>
      <x:c r="K172" s="37">
        <x:f>J172/C172</x:f>
        <x:v>3</x:v>
      </x:c>
      <x:c r="L172" s="25" t="str">
        <x:f>IF(J172&lt;M172,119,"")</x:f>
        <x:v/>
      </x:c>
      <x:c r="M172" s="34">
        <x:f>R7*C172</x:f>
        <x:v>0</x:v>
      </x:c>
      <x:c r="N172" s="35">
        <x:f>J172-M172</x:f>
        <x:v>3</x:v>
      </x:c>
    </x:row>
    <x:row r="173" spans="1:14" customFormat="1" ht="18.75" customHeight="1">
      <x:c r="A173" s="15" t="s">
        <x:v>253</x:v>
      </x:c>
      <x:c r="B173" s="14" t="s">
        <x:v>137</x:v>
      </x:c>
      <x:c r="C173" s="1">
        <x:v>1</x:v>
      </x:c>
      <x:c r="D173" s="14" t="s">
        <x:v>47</x:v>
      </x:c>
      <x:c r="E173" s="7" t="s">
        <x:v>133</x:v>
      </x:c>
      <x:c r="F173" s="38">
        <x:f>'2026.9.11'!J131</x:f>
        <x:v>6</x:v>
      </x:c>
      <x:c r="G173" s="39">
        <x:f>J8*C173</x:f>
        <x:v>0</x:v>
      </x:c>
      <x:c r="H173" s="1"/>
      <x:c r="I173" s="1"/>
      <x:c r="J173" s="36">
        <x:f>F173+I173-G173-H173</x:f>
        <x:v>6</x:v>
      </x:c>
      <x:c r="K173" s="37">
        <x:f>J173/C173</x:f>
        <x:v>6</x:v>
      </x:c>
      <x:c r="L173" s="25">
        <x:f>IF(J173&lt;M173,119,"")</x:f>
        <x:v>119</x:v>
      </x:c>
      <x:c r="M173" s="34">
        <x:f>R8*C173</x:f>
        <x:v>10</x:v>
      </x:c>
      <x:c r="N173" s="35">
        <x:f>J173-M173</x:f>
        <x:v>-4</x:v>
      </x:c>
    </x:row>
    <x:row r="174" spans="1:14" customFormat="1" ht="18.75" customHeight="1">
      <x:c r="A174" s="15" t="s">
        <x:v>253</x:v>
      </x:c>
      <x:c r="B174" s="14" t="s">
        <x:v>137</x:v>
      </x:c>
      <x:c r="C174" s="1">
        <x:v>1</x:v>
      </x:c>
      <x:c r="D174" s="9" t="s">
        <x:v>73</x:v>
      </x:c>
      <x:c r="E174" s="7" t="s">
        <x:v>133</x:v>
      </x:c>
      <x:c r="F174" s="38">
        <x:f>'2026.9.11'!J132</x:f>
        <x:v>0</x:v>
      </x:c>
      <x:c r="G174" s="39">
        <x:f>J9*C174</x:f>
        <x:v>0</x:v>
      </x:c>
      <x:c r="H174" s="1"/>
      <x:c r="I174" s="1"/>
      <x:c r="J174" s="36">
        <x:f>F174+I174-G174-H174</x:f>
        <x:v>0</x:v>
      </x:c>
      <x:c r="K174" s="37">
        <x:f>J174/C174</x:f>
        <x:v>0</x:v>
      </x:c>
      <x:c r="L174" s="25">
        <x:f>IF(J174&lt;M174,119,"")</x:f>
        <x:v>119</x:v>
      </x:c>
      <x:c r="M174" s="34">
        <x:f>R9*C174</x:f>
        <x:v>10</x:v>
      </x:c>
      <x:c r="N174" s="35">
        <x:f>J174-M174</x:f>
        <x:v>-10</x:v>
      </x:c>
    </x:row>
    <x:row r="175" spans="1:14" customFormat="1" ht="18.75" customHeight="1">
      <x:c r="A175" s="15" t="s">
        <x:v>274</x:v>
      </x:c>
      <x:c r="B175" s="14" t="s">
        <x:v>143</x:v>
      </x:c>
      <x:c r="C175" s="6">
        <x:v>2</x:v>
      </x:c>
      <x:c r="D175" s="14" t="s">
        <x:v>262</x:v>
      </x:c>
      <x:c r="E175" s="1" t="s">
        <x:v>85</x:v>
      </x:c>
      <x:c r="F175" s="38">
        <x:f>'2026.9.11'!J133</x:f>
        <x:v>116</x:v>
      </x:c>
      <x:c r="G175" s="33">
        <x:f>SUM(H4:H18)*C175</x:f>
        <x:v>0</x:v>
      </x:c>
      <x:c r="H175" s="6"/>
      <x:c r="I175" s="6"/>
      <x:c r="J175" s="36">
        <x:f>F175+I175-G175-H175</x:f>
        <x:v>116</x:v>
      </x:c>
      <x:c r="K175" s="37">
        <x:f>J175/C175</x:f>
        <x:v>58</x:v>
      </x:c>
      <x:c r="L175" s="25">
        <x:f>IF(J175&lt;M175,119,"")</x:f>
        <x:v>119</x:v>
      </x:c>
      <x:c r="M175" s="34">
        <x:f>SUM(P4:P18)*C175</x:f>
        <x:v>128</x:v>
      </x:c>
      <x:c r="N175" s="35">
        <x:f>J175-M175</x:f>
        <x:v>-12</x:v>
      </x:c>
    </x:row>
    <x:row r="176" spans="1:14" customFormat="1" ht="18.75" customHeight="1">
      <x:c r="A176" s="15" t="s">
        <x:v>274</x:v>
      </x:c>
      <x:c r="B176" s="14" t="s">
        <x:v>143</x:v>
      </x:c>
      <x:c r="C176" s="6">
        <x:v>2</x:v>
      </x:c>
      <x:c r="D176" s="14" t="s">
        <x:v>249</x:v>
      </x:c>
      <x:c r="E176" s="1" t="s">
        <x:v>45</x:v>
      </x:c>
      <x:c r="F176" s="38">
        <x:f>'2026.9.11'!J134</x:f>
        <x:v>62</x:v>
      </x:c>
      <x:c r="G176" s="39">
        <x:f>SUM(H19:H35)*C176</x:f>
        <x:v>0</x:v>
      </x:c>
      <x:c r="H176" s="1"/>
      <x:c r="I176" s="1"/>
      <x:c r="J176" s="36">
        <x:f>F176+I176-G176-H176</x:f>
        <x:v>62</x:v>
      </x:c>
      <x:c r="K176" s="37">
        <x:f>J176/C176</x:f>
        <x:v>31</x:v>
      </x:c>
      <x:c r="L176" s="25" t="str">
        <x:f>IF(J176&lt;M176,119,"")</x:f>
        <x:v/>
      </x:c>
      <x:c r="M176" s="34">
        <x:f>SUM(P19:P31)*C176</x:f>
        <x:v>38</x:v>
      </x:c>
      <x:c r="N176" s="35">
        <x:f>J176-M176</x:f>
        <x:v>24</x:v>
      </x:c>
    </x:row>
    <x:row r="177" spans="1:14" customFormat="1" ht="18.75" customHeight="1">
      <x:c r="A177" s="15" t="s">
        <x:v>274</x:v>
      </x:c>
      <x:c r="B177" s="14" t="s">
        <x:v>143</x:v>
      </x:c>
      <x:c r="C177" s="6">
        <x:v>2</x:v>
      </x:c>
      <x:c r="D177" s="14" t="s">
        <x:v>70</x:v>
      </x:c>
      <x:c r="E177" s="7" t="s">
        <x:v>66</x:v>
      </x:c>
      <x:c r="F177" s="38">
        <x:f>'2026.9.11'!J135</x:f>
        <x:v>93</x:v>
      </x:c>
      <x:c r="G177" s="39">
        <x:f>SUM(H32:H35)*C177</x:f>
        <x:v>0</x:v>
      </x:c>
      <x:c r="H177" s="1"/>
      <x:c r="I177" s="1"/>
      <x:c r="J177" s="36">
        <x:f>F177+I177-G177-H177</x:f>
        <x:v>93</x:v>
      </x:c>
      <x:c r="K177" s="37">
        <x:f>J177/C177</x:f>
        <x:v>46.5</x:v>
      </x:c>
      <x:c r="L177" s="25" t="str">
        <x:f>IF(J177&lt;M177,119,"")</x:f>
        <x:v/>
      </x:c>
      <x:c r="M177" s="34">
        <x:f>SUM(P32:P35)*C177</x:f>
        <x:v>34</x:v>
      </x:c>
      <x:c r="N177" s="35">
        <x:f>J177-M177</x:f>
        <x:v>59</x:v>
      </x:c>
    </x:row>
    <x:row r="178" spans="1:14" customFormat="1" ht="18.75" customHeight="1">
      <x:c r="A178" s="15" t="s">
        <x:v>274</x:v>
      </x:c>
      <x:c r="B178" s="14" t="s">
        <x:v>143</x:v>
      </x:c>
      <x:c r="C178" s="6">
        <x:v>1</x:v>
      </x:c>
      <x:c r="D178" s="14" t="s">
        <x:v>244</x:v>
      </x:c>
      <x:c r="E178" s="6" t="s">
        <x:v>95</x:v>
      </x:c>
      <x:c r="F178" s="38">
        <x:f>'2026.9.11'!J136</x:f>
        <x:v>0</x:v>
      </x:c>
      <x:c r="G178" s="39">
        <x:f>H36*C178</x:f>
        <x:v>0</x:v>
      </x:c>
      <x:c r="H178" s="1"/>
      <x:c r="I178" s="1"/>
      <x:c r="J178" s="36">
        <x:f>F178+I178-G178-H178</x:f>
        <x:v>0</x:v>
      </x:c>
      <x:c r="K178" s="37">
        <x:f>J178/C178</x:f>
        <x:v>0</x:v>
      </x:c>
      <x:c r="L178" s="25" t="str">
        <x:f>IF(J178&lt;M178,119,"")</x:f>
        <x:v/>
      </x:c>
      <x:c r="M178" s="34">
        <x:f>P36*C178</x:f>
        <x:v>0</x:v>
      </x:c>
      <x:c r="N178" s="35">
        <x:f>J178-M178</x:f>
        <x:v>0</x:v>
      </x:c>
    </x:row>
    <x:row r="179" spans="1:14" customFormat="1" ht="18.75" customHeight="1">
      <x:c r="A179" s="15" t="s">
        <x:v>274</x:v>
      </x:c>
      <x:c r="B179" s="14" t="s">
        <x:v>143</x:v>
      </x:c>
      <x:c r="C179" s="6">
        <x:v>1</x:v>
      </x:c>
      <x:c r="D179" s="14" t="s">
        <x:v>247</x:v>
      </x:c>
      <x:c r="E179" s="6" t="s">
        <x:v>98</x:v>
      </x:c>
      <x:c r="F179" s="38">
        <x:f>'2026.9.11'!J137</x:f>
        <x:v>0</x:v>
      </x:c>
      <x:c r="G179" s="39">
        <x:f>H37*C179</x:f>
        <x:v>0</x:v>
      </x:c>
      <x:c r="H179" s="1"/>
      <x:c r="I179" s="1"/>
      <x:c r="J179" s="36">
        <x:f>F179+I179-G179-H179</x:f>
        <x:v>0</x:v>
      </x:c>
      <x:c r="K179" s="37">
        <x:f>J179/C179</x:f>
        <x:v>0</x:v>
      </x:c>
      <x:c r="L179" s="25" t="str">
        <x:f>IF(J179&lt;M179,119,"")</x:f>
        <x:v/>
      </x:c>
      <x:c r="M179" s="34">
        <x:f>P37*C179</x:f>
        <x:v>0</x:v>
      </x:c>
      <x:c r="N179" s="35">
        <x:f>J179-M179</x:f>
        <x:v>0</x:v>
      </x:c>
    </x:row>
    <x:row r="180" spans="1:14" customFormat="1" ht="18.75" customHeight="1">
      <x:c r="A180" s="15" t="s">
        <x:v>274</x:v>
      </x:c>
      <x:c r="B180" s="14" t="s">
        <x:v>143</x:v>
      </x:c>
      <x:c r="C180" s="6">
        <x:v>2</x:v>
      </x:c>
      <x:c r="D180" s="14" t="s">
        <x:v>22</x:v>
      </x:c>
      <x:c r="E180" s="6" t="s">
        <x:v>106</x:v>
      </x:c>
      <x:c r="F180" s="38">
        <x:f>'2026.9.11'!J138</x:f>
        <x:v>0</x:v>
      </x:c>
      <x:c r="G180" s="39">
        <x:f>H38*C180</x:f>
        <x:v>0</x:v>
      </x:c>
      <x:c r="H180" s="1"/>
      <x:c r="I180" s="1"/>
      <x:c r="J180" s="36">
        <x:f>F180+I180-G180-H180</x:f>
        <x:v>0</x:v>
      </x:c>
      <x:c r="K180" s="37">
        <x:f>J180/C180</x:f>
        <x:v>0</x:v>
      </x:c>
      <x:c r="L180" s="25" t="str">
        <x:f>IF(J180&lt;M180,119,"")</x:f>
        <x:v/>
      </x:c>
      <x:c r="M180" s="34">
        <x:f>P38*C180</x:f>
        <x:v>0</x:v>
      </x:c>
      <x:c r="N180" s="35">
        <x:f>J180-M180</x:f>
        <x:v>0</x:v>
      </x:c>
    </x:row>
    <x:row r="181" spans="1:14" customFormat="1" ht="18.75" customHeight="1">
      <x:c r="A181" s="15" t="s">
        <x:v>274</x:v>
      </x:c>
      <x:c r="B181" s="14" t="s">
        <x:v>143</x:v>
      </x:c>
      <x:c r="C181" s="6">
        <x:v>2</x:v>
      </x:c>
      <x:c r="D181" s="14" t="s">
        <x:v>96</x:v>
      </x:c>
      <x:c r="E181" s="6" t="s">
        <x:v>87</x:v>
      </x:c>
      <x:c r="F181" s="38">
        <x:f>'2026.9.11'!J139</x:f>
        <x:v>4</x:v>
      </x:c>
      <x:c r="G181" s="39">
        <x:f>H39*C181</x:f>
        <x:v>0</x:v>
      </x:c>
      <x:c r="H181" s="1"/>
      <x:c r="I181" s="1"/>
      <x:c r="J181" s="36">
        <x:f>F181+I181-G181-H181</x:f>
        <x:v>4</x:v>
      </x:c>
      <x:c r="K181" s="37">
        <x:f>J181/C181</x:f>
        <x:v>2</x:v>
      </x:c>
      <x:c r="L181" s="25" t="str">
        <x:f>IF(J181&lt;M181,119,"")</x:f>
        <x:v/>
      </x:c>
      <x:c r="M181" s="34">
        <x:f>P39*C181</x:f>
        <x:v>0</x:v>
      </x:c>
      <x:c r="N181" s="35">
        <x:f>J181-M181</x:f>
        <x:v>4</x:v>
      </x:c>
    </x:row>
    <x:row r="182" spans="1:14" customFormat="1" ht="18.75" customHeight="1">
      <x:c r="A182" s="15" t="s">
        <x:v>274</x:v>
      </x:c>
      <x:c r="B182" s="14" t="s">
        <x:v>137</x:v>
      </x:c>
      <x:c r="C182" s="1">
        <x:v>1</x:v>
      </x:c>
      <x:c r="D182" s="14" t="s">
        <x:v>83</x:v>
      </x:c>
      <x:c r="E182" s="1"/>
      <x:c r="F182" s="38">
        <x:f>'2026.9.11'!J140</x:f>
        <x:v>1</x:v>
      </x:c>
      <x:c r="G182" s="39">
        <x:f>J6*C182</x:f>
        <x:v>0</x:v>
      </x:c>
      <x:c r="H182" s="1"/>
      <x:c r="I182" s="1"/>
      <x:c r="J182" s="36">
        <x:f>F182+I182-G182-H182</x:f>
        <x:v>1</x:v>
      </x:c>
      <x:c r="K182" s="37">
        <x:f>J182/C182</x:f>
        <x:v>1</x:v>
      </x:c>
      <x:c r="L182" s="25">
        <x:f>IF(J182&lt;M182,119,"")</x:f>
        <x:v>119</x:v>
      </x:c>
      <x:c r="M182" s="34">
        <x:f>R6*C182</x:f>
        <x:v>13</x:v>
      </x:c>
      <x:c r="N182" s="35">
        <x:f>J182-M182</x:f>
        <x:v>-12</x:v>
      </x:c>
    </x:row>
    <x:row r="183" spans="1:14" customFormat="1" ht="18.75" customHeight="1">
      <x:c r="A183" s="15" t="s">
        <x:v>274</x:v>
      </x:c>
      <x:c r="B183" s="14" t="s">
        <x:v>137</x:v>
      </x:c>
      <x:c r="C183" s="1">
        <x:v>1</x:v>
      </x:c>
      <x:c r="D183" s="14" t="s">
        <x:v>41</x:v>
      </x:c>
      <x:c r="E183" s="7"/>
      <x:c r="F183" s="38">
        <x:f>'2026.9.11'!J141</x:f>
        <x:v>0</x:v>
      </x:c>
      <x:c r="G183" s="39">
        <x:f>J7*C183</x:f>
        <x:v>0</x:v>
      </x:c>
      <x:c r="H183" s="1"/>
      <x:c r="I183" s="1"/>
      <x:c r="J183" s="36">
        <x:f>F183+I183-G183-H183</x:f>
        <x:v>0</x:v>
      </x:c>
      <x:c r="K183" s="37">
        <x:f>J183/C183</x:f>
        <x:v>0</x:v>
      </x:c>
      <x:c r="L183" s="25" t="str">
        <x:f>IF(J183&lt;M183,119,"")</x:f>
        <x:v/>
      </x:c>
      <x:c r="M183" s="34">
        <x:f>R7*C183</x:f>
        <x:v>0</x:v>
      </x:c>
      <x:c r="N183" s="35">
        <x:f>J183-M183</x:f>
        <x:v>0</x:v>
      </x:c>
    </x:row>
    <x:row r="184" spans="1:14" customFormat="1" ht="18.75" customHeight="1">
      <x:c r="A184" s="15" t="s">
        <x:v>274</x:v>
      </x:c>
      <x:c r="B184" s="14" t="s">
        <x:v>137</x:v>
      </x:c>
      <x:c r="C184" s="1">
        <x:v>1</x:v>
      </x:c>
      <x:c r="D184" s="14" t="s">
        <x:v>47</x:v>
      </x:c>
      <x:c r="E184" s="7"/>
      <x:c r="F184" s="38">
        <x:f>'2026.9.11'!J142</x:f>
        <x:v>7</x:v>
      </x:c>
      <x:c r="G184" s="39">
        <x:f>J8*C184</x:f>
        <x:v>0</x:v>
      </x:c>
      <x:c r="H184" s="1"/>
      <x:c r="I184" s="1"/>
      <x:c r="J184" s="36">
        <x:f>F184+I184-G184-H184</x:f>
        <x:v>7</x:v>
      </x:c>
      <x:c r="K184" s="37">
        <x:f>J184/C184</x:f>
        <x:v>7</x:v>
      </x:c>
      <x:c r="L184" s="25">
        <x:f>IF(J184&lt;M184,119,"")</x:f>
        <x:v>119</x:v>
      </x:c>
      <x:c r="M184" s="34">
        <x:f>R8*C184</x:f>
        <x:v>10</x:v>
      </x:c>
      <x:c r="N184" s="35">
        <x:f>J184-M184</x:f>
        <x:v>-3</x:v>
      </x:c>
    </x:row>
    <x:row r="185" spans="1:14" customFormat="1" ht="18.75" customHeight="1">
      <x:c r="A185" s="15" t="s">
        <x:v>274</x:v>
      </x:c>
      <x:c r="B185" s="14" t="s">
        <x:v>137</x:v>
      </x:c>
      <x:c r="C185" s="1">
        <x:v>1</x:v>
      </x:c>
      <x:c r="D185" s="9" t="s">
        <x:v>73</x:v>
      </x:c>
      <x:c r="E185" s="7" t="s">
        <x:v>92</x:v>
      </x:c>
      <x:c r="F185" s="38">
        <x:f>'2026.9.11'!J143</x:f>
        <x:v>0</x:v>
      </x:c>
      <x:c r="G185" s="39">
        <x:f>J9*C185</x:f>
        <x:v>0</x:v>
      </x:c>
      <x:c r="H185" s="1"/>
      <x:c r="I185" s="1"/>
      <x:c r="J185" s="36">
        <x:f>F185+I185-G185-H185</x:f>
        <x:v>0</x:v>
      </x:c>
      <x:c r="K185" s="37">
        <x:f>J185/C185</x:f>
        <x:v>0</x:v>
      </x:c>
      <x:c r="L185" s="25">
        <x:f>IF(J185&lt;M185,119,"")</x:f>
        <x:v>119</x:v>
      </x:c>
      <x:c r="M185" s="34">
        <x:f>R9*C185</x:f>
        <x:v>10</x:v>
      </x:c>
      <x:c r="N185" s="35">
        <x:f>J185-M185</x:f>
        <x:v>-10</x:v>
      </x:c>
    </x:row>
    <x:row r="186" spans="1:14" customFormat="1" ht="18.75" customHeight="1">
      <x:c r="A186" s="15" t="s">
        <x:v>53</x:v>
      </x:c>
      <x:c r="B186" s="14" t="s">
        <x:v>143</x:v>
      </x:c>
      <x:c r="C186" s="6">
        <x:v>8</x:v>
      </x:c>
      <x:c r="D186" s="14" t="s">
        <x:v>262</x:v>
      </x:c>
      <x:c r="E186" s="1" t="s">
        <x:v>175</x:v>
      </x:c>
      <x:c r="F186" s="38">
        <x:f>'2026.9.11'!J144</x:f>
        <x:v>318</x:v>
      </x:c>
      <x:c r="G186" s="33">
        <x:f>SUM(H4:H18)*C186</x:f>
        <x:v>0</x:v>
      </x:c>
      <x:c r="H186" s="6"/>
      <x:c r="I186" s="6"/>
      <x:c r="J186" s="36">
        <x:f>F186+I186-G186-H186</x:f>
        <x:v>318</x:v>
      </x:c>
      <x:c r="K186" s="37">
        <x:f>J186/C186</x:f>
        <x:v>39.75</x:v>
      </x:c>
      <x:c r="L186" s="25">
        <x:f>IF(J186&lt;M186,119,"")</x:f>
        <x:v>119</x:v>
      </x:c>
      <x:c r="M186" s="34">
        <x:f>SUM(P4:P18)*C186</x:f>
        <x:v>512</x:v>
      </x:c>
      <x:c r="N186" s="35">
        <x:f>J186-M186</x:f>
        <x:v>-194</x:v>
      </x:c>
    </x:row>
    <x:row r="187" spans="1:14" customFormat="1" ht="18.75" customHeight="1">
      <x:c r="A187" s="15" t="s">
        <x:v>53</x:v>
      </x:c>
      <x:c r="B187" s="14" t="s">
        <x:v>143</x:v>
      </x:c>
      <x:c r="C187" s="6">
        <x:v>8</x:v>
      </x:c>
      <x:c r="D187" s="14" t="s">
        <x:v>249</x:v>
      </x:c>
      <x:c r="E187" s="1" t="s">
        <x:v>159</x:v>
      </x:c>
      <x:c r="F187" s="38">
        <x:f>'2026.9.11'!J145</x:f>
        <x:v>299</x:v>
      </x:c>
      <x:c r="G187" s="39">
        <x:f>SUM(H19:H31)*C187</x:f>
        <x:v>0</x:v>
      </x:c>
      <x:c r="H187" s="1"/>
      <x:c r="I187" s="1"/>
      <x:c r="J187" s="36">
        <x:f>F187+I187-G187-H187</x:f>
        <x:v>299</x:v>
      </x:c>
      <x:c r="K187" s="37">
        <x:f>J187/C187</x:f>
        <x:v>37.375</x:v>
      </x:c>
      <x:c r="L187" s="25" t="str">
        <x:f>IF(J187&lt;M187,119,"")</x:f>
        <x:v/>
      </x:c>
      <x:c r="M187" s="34">
        <x:f>SUM(P19:P31)*C187</x:f>
        <x:v>152</x:v>
      </x:c>
      <x:c r="N187" s="35">
        <x:f>J187-M187</x:f>
        <x:v>147</x:v>
      </x:c>
    </x:row>
    <x:row r="188" spans="1:14" customFormat="1" ht="18.75" customHeight="1">
      <x:c r="A188" s="15" t="s">
        <x:v>53</x:v>
      </x:c>
      <x:c r="B188" s="14" t="s">
        <x:v>143</x:v>
      </x:c>
      <x:c r="C188" s="6">
        <x:v>8</x:v>
      </x:c>
      <x:c r="D188" s="14" t="s">
        <x:v>70</x:v>
      </x:c>
      <x:c r="E188" s="7" t="s">
        <x:v>192</x:v>
      </x:c>
      <x:c r="F188" s="38">
        <x:f>'2026.9.11'!J146</x:f>
        <x:v>686</x:v>
      </x:c>
      <x:c r="G188" s="39">
        <x:f>SUM(H32:H35)*C188</x:f>
        <x:v>0</x:v>
      </x:c>
      <x:c r="H188" s="1"/>
      <x:c r="I188" s="1"/>
      <x:c r="J188" s="36">
        <x:f>F188+I188-G188-H188</x:f>
        <x:v>686</x:v>
      </x:c>
      <x:c r="K188" s="37">
        <x:f>J188/C188</x:f>
        <x:v>85.75</x:v>
      </x:c>
      <x:c r="L188" s="25" t="str">
        <x:f>IF(J188&lt;M188,119,"")</x:f>
        <x:v/>
      </x:c>
      <x:c r="M188" s="34">
        <x:f>SUM(P32:P35)*C188</x:f>
        <x:v>136</x:v>
      </x:c>
      <x:c r="N188" s="35">
        <x:f>J188-M188</x:f>
        <x:v>550</x:v>
      </x:c>
    </x:row>
    <x:row r="189" spans="1:14" customFormat="1" ht="18.75" customHeight="1">
      <x:c r="A189" s="15" t="s">
        <x:v>53</x:v>
      </x:c>
      <x:c r="B189" s="14" t="s">
        <x:v>143</x:v>
      </x:c>
      <x:c r="C189" s="6">
        <x:v>4</x:v>
      </x:c>
      <x:c r="D189" s="14" t="s">
        <x:v>276</x:v>
      </x:c>
      <x:c r="E189" s="6" t="s">
        <x:v>203</x:v>
      </x:c>
      <x:c r="F189" s="38">
        <x:f>'2026.9.11'!J147</x:f>
        <x:v>2</x:v>
      </x:c>
      <x:c r="G189" s="39">
        <x:f>SUM(H36:H37)*C189</x:f>
        <x:v>0</x:v>
      </x:c>
      <x:c r="H189" s="1"/>
      <x:c r="I189" s="1"/>
      <x:c r="J189" s="36">
        <x:f>F189+I189-G189-H189</x:f>
        <x:v>2</x:v>
      </x:c>
      <x:c r="K189" s="37">
        <x:f>J189/C189</x:f>
        <x:v>0.5</x:v>
      </x:c>
      <x:c r="L189" s="25" t="str">
        <x:f>IF(J189&lt;M189,119,"")</x:f>
        <x:v/>
      </x:c>
      <x:c r="M189" s="34">
        <x:f>SUM(P36:P37)*C189</x:f>
        <x:v>0</x:v>
      </x:c>
      <x:c r="N189" s="35">
        <x:f>J189-M189</x:f>
        <x:v>2</x:v>
      </x:c>
    </x:row>
    <x:row r="190" spans="1:14" customFormat="1" ht="18.75" customHeight="1">
      <x:c r="A190" s="15" t="s">
        <x:v>53</x:v>
      </x:c>
      <x:c r="B190" s="14" t="s">
        <x:v>143</x:v>
      </x:c>
      <x:c r="C190" s="6">
        <x:v>8</x:v>
      </x:c>
      <x:c r="D190" s="14" t="s">
        <x:v>11</x:v>
      </x:c>
      <x:c r="E190" s="6" t="s">
        <x:v>30</x:v>
      </x:c>
      <x:c r="F190" s="38">
        <x:f>'2026.9.11'!J148</x:f>
        <x:v>23</x:v>
      </x:c>
      <x:c r="G190" s="39">
        <x:f>SUM(H38:H39)*C190</x:f>
        <x:v>0</x:v>
      </x:c>
      <x:c r="H190" s="1"/>
      <x:c r="I190" s="1"/>
      <x:c r="J190" s="36">
        <x:f>F190+I190-G190-H190</x:f>
        <x:v>23</x:v>
      </x:c>
      <x:c r="K190" s="37">
        <x:f>J190/C190</x:f>
        <x:v>2.875</x:v>
      </x:c>
      <x:c r="L190" s="25" t="str">
        <x:f>IF(J190&lt;M190,119,"")</x:f>
        <x:v/>
      </x:c>
      <x:c r="M190" s="34">
        <x:f>SUM(P38:P39)*C190</x:f>
        <x:v>0</x:v>
      </x:c>
      <x:c r="N190" s="35">
        <x:f>J190-M190</x:f>
        <x:v>23</x:v>
      </x:c>
    </x:row>
    <x:row r="191" spans="1:14" customFormat="1" ht="18.75" customHeight="1">
      <x:c r="A191" s="15" t="s">
        <x:v>53</x:v>
      </x:c>
      <x:c r="B191" s="14" t="s">
        <x:v>140</x:v>
      </x:c>
      <x:c r="C191" s="1">
        <x:v>4</x:v>
      </x:c>
      <x:c r="D191" s="14" t="s">
        <x:v>83</x:v>
      </x:c>
      <x:c r="E191" s="1" t="s">
        <x:v>49</x:v>
      </x:c>
      <x:c r="F191" s="38">
        <x:f>'2026.9.11'!J149</x:f>
        <x:v>138</x:v>
      </x:c>
      <x:c r="G191" s="39">
        <x:f>J6*C191</x:f>
        <x:v>0</x:v>
      </x:c>
      <x:c r="H191" s="1"/>
      <x:c r="I191" s="1"/>
      <x:c r="J191" s="36">
        <x:f>F191+I191-G191-H191</x:f>
        <x:v>138</x:v>
      </x:c>
      <x:c r="K191" s="37">
        <x:f>J191/C191</x:f>
        <x:v>34.5</x:v>
      </x:c>
      <x:c r="L191" s="25" t="str">
        <x:f>IF(J191&lt;M191,119,"")</x:f>
        <x:v/>
      </x:c>
      <x:c r="M191" s="34">
        <x:f>R6*C191</x:f>
        <x:v>52</x:v>
      </x:c>
      <x:c r="N191" s="35">
        <x:f>J191-M191</x:f>
        <x:v>86</x:v>
      </x:c>
    </x:row>
    <x:row r="192" spans="1:14" customFormat="1" ht="18.75" customHeight="1">
      <x:c r="A192" s="15" t="s">
        <x:v>53</x:v>
      </x:c>
      <x:c r="B192" s="14" t="s">
        <x:v>140</x:v>
      </x:c>
      <x:c r="C192" s="1">
        <x:v>4</x:v>
      </x:c>
      <x:c r="D192" s="14" t="s">
        <x:v>8</x:v>
      </x:c>
      <x:c r="E192" s="7" t="s">
        <x:v>71</x:v>
      </x:c>
      <x:c r="F192" s="38">
        <x:f>'2026.9.11'!J150</x:f>
        <x:v>147</x:v>
      </x:c>
      <x:c r="G192" s="39">
        <x:f>SUM(J7:J8)*C192</x:f>
        <x:v>0</x:v>
      </x:c>
      <x:c r="H192" s="1"/>
      <x:c r="I192" s="1"/>
      <x:c r="J192" s="36">
        <x:f>F192+I192-G192-H192</x:f>
        <x:v>147</x:v>
      </x:c>
      <x:c r="K192" s="37">
        <x:f>J192/C192</x:f>
        <x:v>36.75</x:v>
      </x:c>
      <x:c r="L192" s="25" t="str">
        <x:f>IF(J192&lt;M192,119,"")</x:f>
        <x:v/>
      </x:c>
      <x:c r="M192" s="34">
        <x:f>SUM(R7:R8)*C192</x:f>
        <x:v>40</x:v>
      </x:c>
      <x:c r="N192" s="35">
        <x:f>J192-M192</x:f>
        <x:v>107</x:v>
      </x:c>
    </x:row>
    <x:row r="193" spans="1:14" customFormat="1" ht="18.75" customHeight="1">
      <x:c r="A193" s="15" t="s">
        <x:v>53</x:v>
      </x:c>
      <x:c r="B193" s="14" t="s">
        <x:v>140</x:v>
      </x:c>
      <x:c r="C193" s="1">
        <x:v>4</x:v>
      </x:c>
      <x:c r="D193" s="9" t="s">
        <x:v>73</x:v>
      </x:c>
      <x:c r="E193" s="7" t="s">
        <x:v>79</x:v>
      </x:c>
      <x:c r="F193" s="38">
        <x:f>'2026.9.11'!J151</x:f>
        <x:v>137</x:v>
      </x:c>
      <x:c r="G193" s="39">
        <x:f>J9*C193</x:f>
        <x:v>0</x:v>
      </x:c>
      <x:c r="H193" s="1"/>
      <x:c r="I193" s="1"/>
      <x:c r="J193" s="36">
        <x:f>F193+I193-G193-H193</x:f>
        <x:v>137</x:v>
      </x:c>
      <x:c r="K193" s="37">
        <x:f>J193/C193</x:f>
        <x:v>34.25</x:v>
      </x:c>
      <x:c r="L193" s="25" t="str">
        <x:f>IF(J193&lt;M193,119,"")</x:f>
        <x:v/>
      </x:c>
      <x:c r="M193" s="34">
        <x:f>R9*C193</x:f>
        <x:v>40</x:v>
      </x:c>
      <x:c r="N193" s="35">
        <x:f>J193-M193</x:f>
        <x:v>97</x:v>
      </x:c>
    </x:row>
    <x:row r="194" spans="1:14" customFormat="1" ht="18.75" customHeight="1">
      <x:c r="A194" s="15" t="s">
        <x:v>260</x:v>
      </x:c>
      <x:c r="B194" s="14" t="s">
        <x:v>160</x:v>
      </x:c>
      <x:c r="C194" s="1">
        <x:v>2</x:v>
      </x:c>
      <x:c r="D194" s="9" t="s">
        <x:v>262</x:v>
      </x:c>
      <x:c r="E194" s="7" t="s">
        <x:v>125</x:v>
      </x:c>
      <x:c r="F194" s="38">
        <x:f>'2026.9.11'!J152</x:f>
        <x:v>122</x:v>
      </x:c>
      <x:c r="G194" s="39">
        <x:f>SUM(H4:H18)*C194</x:f>
        <x:v>0</x:v>
      </x:c>
      <x:c r="H194" s="1"/>
      <x:c r="I194" s="1"/>
      <x:c r="J194" s="36">
        <x:f>F194+I194-G194-H194</x:f>
        <x:v>122</x:v>
      </x:c>
      <x:c r="K194" s="37">
        <x:f>J194/C194</x:f>
        <x:v>61</x:v>
      </x:c>
      <x:c r="L194" s="25">
        <x:f>IF(J194&lt;M194,119,"")</x:f>
        <x:v>119</x:v>
      </x:c>
      <x:c r="M194" s="34">
        <x:f>SUM(P4:P18)*C194</x:f>
        <x:v>128</x:v>
      </x:c>
      <x:c r="N194" s="35">
        <x:f>J194-M194</x:f>
        <x:v>-6</x:v>
      </x:c>
    </x:row>
    <x:row r="195" spans="1:14" customFormat="1" ht="18.75" customHeight="1">
      <x:c r="A195" s="15" t="s">
        <x:v>260</x:v>
      </x:c>
      <x:c r="B195" s="14" t="s">
        <x:v>160</x:v>
      </x:c>
      <x:c r="C195" s="6">
        <x:v>2</x:v>
      </x:c>
      <x:c r="D195" s="14" t="s">
        <x:v>249</x:v>
      </x:c>
      <x:c r="E195" s="1" t="s">
        <x:v>132</x:v>
      </x:c>
      <x:c r="F195" s="38">
        <x:f>'2026.9.11'!J153</x:f>
        <x:v>37</x:v>
      </x:c>
      <x:c r="G195" s="39">
        <x:f>SUM(H19:H31)*C195</x:f>
        <x:v>0</x:v>
      </x:c>
      <x:c r="H195" s="1"/>
      <x:c r="I195" s="1"/>
      <x:c r="J195" s="36">
        <x:f>F195+I195-G195-H195</x:f>
        <x:v>37</x:v>
      </x:c>
      <x:c r="K195" s="37">
        <x:f>J195/C195</x:f>
        <x:v>18.5</x:v>
      </x:c>
      <x:c r="L195" s="25">
        <x:f>IF(J195&lt;M195,119,"")</x:f>
        <x:v>119</x:v>
      </x:c>
      <x:c r="M195" s="34">
        <x:f>SUM(P19:P31)*C195</x:f>
        <x:v>38</x:v>
      </x:c>
      <x:c r="N195" s="35">
        <x:f>J195-M195</x:f>
        <x:v>-1</x:v>
      </x:c>
    </x:row>
    <x:row r="196" spans="1:14" customFormat="1" ht="18.75" customHeight="1">
      <x:c r="A196" s="15" t="s">
        <x:v>260</x:v>
      </x:c>
      <x:c r="B196" s="14" t="s">
        <x:v>160</x:v>
      </x:c>
      <x:c r="C196" s="6">
        <x:v>2</x:v>
      </x:c>
      <x:c r="D196" s="14" t="s">
        <x:v>70</x:v>
      </x:c>
      <x:c r="E196" s="7" t="s">
        <x:v>129</x:v>
      </x:c>
      <x:c r="F196" s="38">
        <x:f>'2026.9.11'!J154</x:f>
        <x:v>94</x:v>
      </x:c>
      <x:c r="G196" s="39">
        <x:f>SUM(H32:H35)*C196</x:f>
        <x:v>0</x:v>
      </x:c>
      <x:c r="H196" s="1"/>
      <x:c r="I196" s="1"/>
      <x:c r="J196" s="36">
        <x:f>F196+I196-G196-H196</x:f>
        <x:v>94</x:v>
      </x:c>
      <x:c r="K196" s="37">
        <x:f>J196/C196</x:f>
        <x:v>47</x:v>
      </x:c>
      <x:c r="L196" s="25" t="str">
        <x:f>IF(J196&lt;M196,119,"")</x:f>
        <x:v/>
      </x:c>
      <x:c r="M196" s="34">
        <x:f>SUM(P32:P35)*C196</x:f>
        <x:v>34</x:v>
      </x:c>
      <x:c r="N196" s="35">
        <x:f>J196-M196</x:f>
        <x:v>60</x:v>
      </x:c>
    </x:row>
    <x:row r="197" spans="1:14" customFormat="1" ht="18.75" customHeight="1">
      <x:c r="A197" s="15" t="s">
        <x:v>260</x:v>
      </x:c>
      <x:c r="B197" s="14" t="s">
        <x:v>177</x:v>
      </x:c>
      <x:c r="C197" s="6">
        <x:v>2</x:v>
      </x:c>
      <x:c r="D197" s="14" t="s">
        <x:v>22</x:v>
      </x:c>
      <x:c r="E197" s="6" t="s">
        <x:v>212</x:v>
      </x:c>
      <x:c r="F197" s="38">
        <x:f>'2026.9.11'!J155</x:f>
        <x:v>0</x:v>
      </x:c>
      <x:c r="G197" s="39">
        <x:f>H38*C197</x:f>
        <x:v>0</x:v>
      </x:c>
      <x:c r="H197" s="1"/>
      <x:c r="I197" s="1"/>
      <x:c r="J197" s="36">
        <x:f>F197+I197-G197-H197</x:f>
        <x:v>0</x:v>
      </x:c>
      <x:c r="K197" s="37">
        <x:f>J197/C197</x:f>
        <x:v>0</x:v>
      </x:c>
      <x:c r="L197" s="25" t="str">
        <x:f>IF(J197&lt;M197,119,"")</x:f>
        <x:v/>
      </x:c>
      <x:c r="M197" s="34">
        <x:f>P38*C197</x:f>
        <x:v>0</x:v>
      </x:c>
      <x:c r="N197" s="35">
        <x:f>J197-M197</x:f>
        <x:v>0</x:v>
      </x:c>
    </x:row>
    <x:row r="198" spans="1:14" customFormat="1" ht="18.75" customHeight="1">
      <x:c r="A198" s="15" t="s">
        <x:v>260</x:v>
      </x:c>
      <x:c r="B198" s="14" t="s">
        <x:v>177</x:v>
      </x:c>
      <x:c r="C198" s="6">
        <x:v>2</x:v>
      </x:c>
      <x:c r="D198" s="14" t="s">
        <x:v>96</x:v>
      </x:c>
      <x:c r="E198" s="6" t="s">
        <x:v>225</x:v>
      </x:c>
      <x:c r="F198" s="38">
        <x:f>'2026.9.11'!J156</x:f>
        <x:v>4</x:v>
      </x:c>
      <x:c r="G198" s="39">
        <x:f>H39*C198</x:f>
        <x:v>0</x:v>
      </x:c>
      <x:c r="H198" s="1"/>
      <x:c r="I198" s="1"/>
      <x:c r="J198" s="36">
        <x:f>F198+I198-G198-H198</x:f>
        <x:v>4</x:v>
      </x:c>
      <x:c r="K198" s="37">
        <x:f>J198/C198</x:f>
        <x:v>2</x:v>
      </x:c>
      <x:c r="L198" s="25" t="str">
        <x:f>IF(J198&lt;M198,119,"")</x:f>
        <x:v/>
      </x:c>
      <x:c r="M198" s="34">
        <x:f>P39*C198</x:f>
        <x:v>0</x:v>
      </x:c>
      <x:c r="N198" s="35">
        <x:f>J198-M198</x:f>
        <x:v>4</x:v>
      </x:c>
    </x:row>
    <x:row r="199" spans="1:14" customFormat="1" ht="18.75" customHeight="1">
      <x:c r="A199" s="15" t="s">
        <x:v>256</x:v>
      </x:c>
      <x:c r="B199" s="14" t="s">
        <x:v>161</x:v>
      </x:c>
      <x:c r="C199" s="6">
        <x:v>2</x:v>
      </x:c>
      <x:c r="D199" s="14" t="s">
        <x:v>262</x:v>
      </x:c>
      <x:c r="E199" s="1" t="s">
        <x:v>152</x:v>
      </x:c>
      <x:c r="F199" s="38">
        <x:f>'2026.9.11'!J157</x:f>
        <x:v>72</x:v>
      </x:c>
      <x:c r="G199" s="33">
        <x:f>SUM(H4:H18)*C199</x:f>
        <x:v>0</x:v>
      </x:c>
      <x:c r="H199" s="6"/>
      <x:c r="I199" s="6"/>
      <x:c r="J199" s="36">
        <x:f>F199+I199-G199-H199</x:f>
        <x:v>72</x:v>
      </x:c>
      <x:c r="K199" s="37">
        <x:f>J199/C199</x:f>
        <x:v>36</x:v>
      </x:c>
      <x:c r="L199" s="25">
        <x:f>IF(J199&lt;M199,119,"")</x:f>
        <x:v>119</x:v>
      </x:c>
      <x:c r="M199" s="34">
        <x:f>SUM(P4:P18)*C199</x:f>
        <x:v>128</x:v>
      </x:c>
      <x:c r="N199" s="35">
        <x:f>J199-M199</x:f>
        <x:v>-56</x:v>
      </x:c>
    </x:row>
    <x:row r="200" spans="1:14" customFormat="1" ht="18.75" customHeight="1">
      <x:c r="A200" s="15" t="s">
        <x:v>256</x:v>
      </x:c>
      <x:c r="B200" s="14" t="s">
        <x:v>161</x:v>
      </x:c>
      <x:c r="C200" s="6">
        <x:v>2</x:v>
      </x:c>
      <x:c r="D200" s="14" t="s">
        <x:v>249</x:v>
      </x:c>
      <x:c r="E200" s="1" t="s">
        <x:v>141</x:v>
      </x:c>
      <x:c r="F200" s="38">
        <x:f>'2026.9.11'!J158</x:f>
        <x:v>41</x:v>
      </x:c>
      <x:c r="G200" s="39">
        <x:f>SUM(H19:H35)*C200</x:f>
        <x:v>0</x:v>
      </x:c>
      <x:c r="H200" s="1"/>
      <x:c r="I200" s="1"/>
      <x:c r="J200" s="36">
        <x:f>F200+I200-G200-H200</x:f>
        <x:v>41</x:v>
      </x:c>
      <x:c r="K200" s="37">
        <x:f>J200/C200</x:f>
        <x:v>20.5</x:v>
      </x:c>
      <x:c r="L200" s="25" t="str">
        <x:f>IF(J200&lt;M200,119,"")</x:f>
        <x:v/>
      </x:c>
      <x:c r="M200" s="34">
        <x:f>SUM(P19:P31)*C200</x:f>
        <x:v>38</x:v>
      </x:c>
      <x:c r="N200" s="35">
        <x:f>J200-M200</x:f>
        <x:v>3</x:v>
      </x:c>
    </x:row>
    <x:row r="201" spans="1:14" customFormat="1" ht="18.75" customHeight="1">
      <x:c r="A201" s="15" t="s">
        <x:v>256</x:v>
      </x:c>
      <x:c r="B201" s="14" t="s">
        <x:v>161</x:v>
      </x:c>
      <x:c r="C201" s="6">
        <x:v>2</x:v>
      </x:c>
      <x:c r="D201" s="14" t="s">
        <x:v>70</x:v>
      </x:c>
      <x:c r="E201" s="7" t="s">
        <x:v>138</x:v>
      </x:c>
      <x:c r="F201" s="38">
        <x:f>'2026.9.11'!J159</x:f>
        <x:v>32</x:v>
      </x:c>
      <x:c r="G201" s="39">
        <x:f>SUM(H32:H35)*C201</x:f>
        <x:v>0</x:v>
      </x:c>
      <x:c r="H201" s="1"/>
      <x:c r="I201" s="1"/>
      <x:c r="J201" s="36">
        <x:f>F201+I201-G201-H201</x:f>
        <x:v>32</x:v>
      </x:c>
      <x:c r="K201" s="37">
        <x:f>J201/C201</x:f>
        <x:v>16</x:v>
      </x:c>
      <x:c r="L201" s="25">
        <x:f>IF(J201&lt;M201,119,"")</x:f>
        <x:v>119</x:v>
      </x:c>
      <x:c r="M201" s="34">
        <x:f>SUM(P32:P35)*C201</x:f>
        <x:v>34</x:v>
      </x:c>
      <x:c r="N201" s="35">
        <x:f>J201-M201</x:f>
        <x:v>-2</x:v>
      </x:c>
    </x:row>
    <x:row r="202" spans="1:14" customFormat="1" ht="18.75" customHeight="1">
      <x:c r="A202" s="15" t="s">
        <x:v>256</x:v>
      </x:c>
      <x:c r="B202" s="14" t="s">
        <x:v>161</x:v>
      </x:c>
      <x:c r="C202" s="6">
        <x:v>2</x:v>
      </x:c>
      <x:c r="D202" s="14" t="s">
        <x:v>22</x:v>
      </x:c>
      <x:c r="E202" s="6" t="s">
        <x:v>179</x:v>
      </x:c>
      <x:c r="F202" s="38">
        <x:f>'2026.9.11'!J160</x:f>
        <x:v>0</x:v>
      </x:c>
      <x:c r="G202" s="39">
        <x:f>H38*C202</x:f>
        <x:v>0</x:v>
      </x:c>
      <x:c r="H202" s="1"/>
      <x:c r="I202" s="1"/>
      <x:c r="J202" s="36">
        <x:f>F202+I202-G202-H202</x:f>
        <x:v>0</x:v>
      </x:c>
      <x:c r="K202" s="37">
        <x:f>J202/C202</x:f>
        <x:v>0</x:v>
      </x:c>
      <x:c r="L202" s="25" t="str">
        <x:f>IF(J202&lt;M202,119,"")</x:f>
        <x:v/>
      </x:c>
      <x:c r="M202" s="34">
        <x:f>P38*C202</x:f>
        <x:v>0</x:v>
      </x:c>
      <x:c r="N202" s="35">
        <x:f>J202-M202</x:f>
        <x:v>0</x:v>
      </x:c>
    </x:row>
    <x:row r="203" spans="1:14" customFormat="1" ht="18.75" customHeight="1">
      <x:c r="A203" s="15" t="s">
        <x:v>256</x:v>
      </x:c>
      <x:c r="B203" s="14" t="s">
        <x:v>161</x:v>
      </x:c>
      <x:c r="C203" s="6">
        <x:v>2</x:v>
      </x:c>
      <x:c r="D203" s="14" t="s">
        <x:v>96</x:v>
      </x:c>
      <x:c r="E203" s="6" t="s">
        <x:v>202</x:v>
      </x:c>
      <x:c r="F203" s="38">
        <x:f>'2026.9.11'!J161</x:f>
        <x:v>4</x:v>
      </x:c>
      <x:c r="G203" s="39">
        <x:f>H39*C203</x:f>
        <x:v>0</x:v>
      </x:c>
      <x:c r="H203" s="1"/>
      <x:c r="I203" s="1"/>
      <x:c r="J203" s="36">
        <x:f>F203+I203-G203-H203</x:f>
        <x:v>4</x:v>
      </x:c>
      <x:c r="K203" s="37">
        <x:f>J203/C203</x:f>
        <x:v>2</x:v>
      </x:c>
      <x:c r="L203" s="25" t="str">
        <x:f>IF(J203&lt;M203,119,"")</x:f>
        <x:v/>
      </x:c>
      <x:c r="M203" s="34">
        <x:f>P39*C203</x:f>
        <x:v>0</x:v>
      </x:c>
      <x:c r="N203" s="35">
        <x:f>J203-M203</x:f>
        <x:v>4</x:v>
      </x:c>
    </x:row>
    <x:row r="204" spans="1:14" customFormat="1" ht="18.75" customHeight="1">
      <x:c r="A204" s="15" t="s">
        <x:v>240</x:v>
      </x:c>
      <x:c r="B204" s="14" t="s">
        <x:v>181</x:v>
      </x:c>
      <x:c r="C204" s="6">
        <x:v>2</x:v>
      </x:c>
      <x:c r="D204" s="14" t="s">
        <x:v>262</x:v>
      </x:c>
      <x:c r="E204" s="1" t="s">
        <x:v>235</x:v>
      </x:c>
      <x:c r="F204" s="38">
        <x:f>'2026.9.11'!J162</x:f>
        <x:v>92</x:v>
      </x:c>
      <x:c r="G204" s="39">
        <x:f>SUM(H4:H18)*C204</x:f>
        <x:v>0</x:v>
      </x:c>
      <x:c r="H204" s="1"/>
      <x:c r="I204" s="1"/>
      <x:c r="J204" s="36">
        <x:f>F204+I204-G204-H204</x:f>
        <x:v>92</x:v>
      </x:c>
      <x:c r="K204" s="37">
        <x:f>J204/C204</x:f>
        <x:v>46</x:v>
      </x:c>
      <x:c r="L204" s="25">
        <x:f>IF(J204&lt;M204,119,"")</x:f>
        <x:v>119</x:v>
      </x:c>
      <x:c r="M204" s="34">
        <x:f>SUM(P4:P18)*C204</x:f>
        <x:v>128</x:v>
      </x:c>
      <x:c r="N204" s="35">
        <x:f>J204-M204</x:f>
        <x:v>-36</x:v>
      </x:c>
    </x:row>
    <x:row r="205" spans="1:14" customFormat="1" ht="18.75" customHeight="1">
      <x:c r="A205" s="15" t="s">
        <x:v>240</x:v>
      </x:c>
      <x:c r="B205" s="14" t="s">
        <x:v>181</x:v>
      </x:c>
      <x:c r="C205" s="6">
        <x:v>2</x:v>
      </x:c>
      <x:c r="D205" s="14" t="s">
        <x:v>249</x:v>
      </x:c>
      <x:c r="E205" s="1" t="s">
        <x:v>238</x:v>
      </x:c>
      <x:c r="F205" s="38">
        <x:f>'2026.9.11'!J163</x:f>
        <x:v>32</x:v>
      </x:c>
      <x:c r="G205" s="39">
        <x:f>SUM(H19:H31)*C205</x:f>
        <x:v>0</x:v>
      </x:c>
      <x:c r="H205" s="1"/>
      <x:c r="I205" s="1"/>
      <x:c r="J205" s="36">
        <x:f>F205+I205-G205-H205</x:f>
        <x:v>32</x:v>
      </x:c>
      <x:c r="K205" s="37">
        <x:f>J205/C205</x:f>
        <x:v>16</x:v>
      </x:c>
      <x:c r="L205" s="25">
        <x:f>IF(J205&lt;M205,119,"")</x:f>
        <x:v>119</x:v>
      </x:c>
      <x:c r="M205" s="34">
        <x:f>SUM(P19:P31)*C205</x:f>
        <x:v>38</x:v>
      </x:c>
      <x:c r="N205" s="35">
        <x:f>J205-M205</x:f>
        <x:v>-6</x:v>
      </x:c>
    </x:row>
    <x:row r="206" spans="1:14" customFormat="1" ht="18.75" customHeight="1">
      <x:c r="A206" s="15" t="s">
        <x:v>240</x:v>
      </x:c>
      <x:c r="B206" s="14" t="s">
        <x:v>181</x:v>
      </x:c>
      <x:c r="C206" s="6">
        <x:v>2</x:v>
      </x:c>
      <x:c r="D206" s="14" t="s">
        <x:v>70</x:v>
      </x:c>
      <x:c r="E206" s="1" t="s">
        <x:v>100</x:v>
      </x:c>
      <x:c r="F206" s="38">
        <x:f>'2026.9.11'!J164</x:f>
        <x:v>32</x:v>
      </x:c>
      <x:c r="G206" s="39">
        <x:f>SUM(H32:H35)*C206</x:f>
        <x:v>0</x:v>
      </x:c>
      <x:c r="H206" s="1"/>
      <x:c r="I206" s="1"/>
      <x:c r="J206" s="36">
        <x:f>F206+I206-G206-H206</x:f>
        <x:v>32</x:v>
      </x:c>
      <x:c r="K206" s="37">
        <x:f>J206/C206</x:f>
        <x:v>16</x:v>
      </x:c>
      <x:c r="L206" s="25">
        <x:f>IF(J206&lt;M206,119,"")</x:f>
        <x:v>119</x:v>
      </x:c>
      <x:c r="M206" s="34">
        <x:f>SUM(P32:P35)*C206</x:f>
        <x:v>34</x:v>
      </x:c>
      <x:c r="N206" s="35">
        <x:f>J206-M206</x:f>
        <x:v>-2</x:v>
      </x:c>
    </x:row>
    <x:row r="207" spans="1:14" customFormat="1" ht="18.75" customHeight="1">
      <x:c r="A207" s="15" t="s">
        <x:v>240</x:v>
      </x:c>
      <x:c r="B207" s="14" t="s">
        <x:v>181</x:v>
      </x:c>
      <x:c r="C207" s="6">
        <x:v>2</x:v>
      </x:c>
      <x:c r="D207" s="14" t="s">
        <x:v>22</x:v>
      </x:c>
      <x:c r="E207" s="1" t="s">
        <x:v>116</x:v>
      </x:c>
      <x:c r="F207" s="38">
        <x:f>'2026.9.11'!J165</x:f>
        <x:v>0</x:v>
      </x:c>
      <x:c r="G207" s="39">
        <x:f>H38*C207</x:f>
        <x:v>0</x:v>
      </x:c>
      <x:c r="H207" s="1"/>
      <x:c r="I207" s="1"/>
      <x:c r="J207" s="36">
        <x:f>F207+I207-G207-H207</x:f>
        <x:v>0</x:v>
      </x:c>
      <x:c r="K207" s="37">
        <x:f>J207/C207</x:f>
        <x:v>0</x:v>
      </x:c>
      <x:c r="L207" s="25" t="str">
        <x:f>IF(J207&lt;M207,119,"")</x:f>
        <x:v/>
      </x:c>
      <x:c r="M207" s="34">
        <x:f>P38*C207</x:f>
        <x:v>0</x:v>
      </x:c>
      <x:c r="N207" s="35">
        <x:f>J207-M207</x:f>
        <x:v>0</x:v>
      </x:c>
    </x:row>
    <x:row r="208" spans="1:14" customFormat="1" ht="18.75" customHeight="1">
      <x:c r="A208" s="15" t="s">
        <x:v>240</x:v>
      </x:c>
      <x:c r="B208" s="14" t="s">
        <x:v>181</x:v>
      </x:c>
      <x:c r="C208" s="6">
        <x:v>2</x:v>
      </x:c>
      <x:c r="D208" s="14" t="s">
        <x:v>96</x:v>
      </x:c>
      <x:c r="E208" s="1" t="s">
        <x:v>91</x:v>
      </x:c>
      <x:c r="F208" s="38">
        <x:f>'2026.9.11'!J166</x:f>
        <x:v>5</x:v>
      </x:c>
      <x:c r="G208" s="39">
        <x:f>H39*C208</x:f>
        <x:v>0</x:v>
      </x:c>
      <x:c r="H208" s="1"/>
      <x:c r="I208" s="1"/>
      <x:c r="J208" s="36">
        <x:f>F208+I208-G208-H208</x:f>
        <x:v>5</x:v>
      </x:c>
      <x:c r="K208" s="37">
        <x:f>J208/C208</x:f>
        <x:v>2.5</x:v>
      </x:c>
      <x:c r="L208" s="25" t="str">
        <x:f>IF(J208&lt;M208,119,"")</x:f>
        <x:v/>
      </x:c>
      <x:c r="M208" s="34">
        <x:f>P39*C208</x:f>
        <x:v>0</x:v>
      </x:c>
      <x:c r="N208" s="35">
        <x:f>J208-M208</x:f>
        <x:v>5</x:v>
      </x:c>
    </x:row>
    <x:row r="209" spans="1:14" customFormat="1" ht="18.75" customHeight="1">
      <x:c r="A209" s="15" t="s">
        <x:v>10</x:v>
      </x:c>
      <x:c r="B209" s="14" t="s">
        <x:v>181</x:v>
      </x:c>
      <x:c r="C209" s="6">
        <x:v>1</x:v>
      </x:c>
      <x:c r="D209" s="14" t="s">
        <x:v>268</x:v>
      </x:c>
      <x:c r="E209" s="1" t="s">
        <x:v>40</x:v>
      </x:c>
      <x:c r="F209" s="38">
        <x:f>'2026.9.11'!J167</x:f>
        <x:v>67</x:v>
      </x:c>
      <x:c r="G209" s="39">
        <x:f>SUM(H4:H28)*C209</x:f>
        <x:v>0</x:v>
      </x:c>
      <x:c r="H209" s="1"/>
      <x:c r="I209" s="1"/>
      <x:c r="J209" s="36">
        <x:f>F209+I209-G209-H209</x:f>
        <x:v>67</x:v>
      </x:c>
      <x:c r="K209" s="37">
        <x:f>J209/C209</x:f>
        <x:v>67</x:v>
      </x:c>
      <x:c r="L209" s="25">
        <x:f>IF(J209&lt;M209,119,"")</x:f>
        <x:v>119</x:v>
      </x:c>
      <x:c r="M209" s="34">
        <x:f>SUM(P4:P31)*C209</x:f>
        <x:v>83</x:v>
      </x:c>
      <x:c r="N209" s="35">
        <x:f>J209-M209</x:f>
        <x:v>-16</x:v>
      </x:c>
    </x:row>
    <x:row r="210" spans="1:14" customFormat="1" ht="18.75" customHeight="1">
      <x:c r="A210" s="15" t="s">
        <x:v>10</x:v>
      </x:c>
      <x:c r="B210" s="14" t="s">
        <x:v>181</x:v>
      </x:c>
      <x:c r="C210" s="6">
        <x:v>1</x:v>
      </x:c>
      <x:c r="D210" s="14" t="s">
        <x:v>70</x:v>
      </x:c>
      <x:c r="E210" s="1" t="s">
        <x:v>100</x:v>
      </x:c>
      <x:c r="F210" s="38">
        <x:f>'2026.9.11'!J168</x:f>
        <x:v>18</x:v>
      </x:c>
      <x:c r="G210" s="39">
        <x:f>SUM(G32)*C210</x:f>
        <x:v>0</x:v>
      </x:c>
      <x:c r="H210" s="1"/>
      <x:c r="I210" s="1"/>
      <x:c r="J210" s="36">
        <x:f>F210+I210-G210-H210</x:f>
        <x:v>18</x:v>
      </x:c>
      <x:c r="K210" s="37">
        <x:f>J210/C210</x:f>
        <x:v>18</x:v>
      </x:c>
      <x:c r="L210" s="25" t="str">
        <x:f>IF(J210&lt;M210,119,"")</x:f>
        <x:v/>
      </x:c>
      <x:c r="M210" s="34">
        <x:f>SUM(P32:P35)*C210</x:f>
        <x:v>17</x:v>
      </x:c>
      <x:c r="N210" s="35">
        <x:f>J210-M210</x:f>
        <x:v>1</x:v>
      </x:c>
    </x:row>
    <x:row r="211" spans="1:14" customFormat="1" ht="18.75" customHeight="1">
      <x:c r="A211" s="15" t="s">
        <x:v>10</x:v>
      </x:c>
      <x:c r="B211" s="14" t="s">
        <x:v>181</x:v>
      </x:c>
      <x:c r="C211" s="6">
        <x:v>1</x:v>
      </x:c>
      <x:c r="D211" s="14" t="s">
        <x:v>244</x:v>
      </x:c>
      <x:c r="E211" s="1" t="s">
        <x:v>89</x:v>
      </x:c>
      <x:c r="F211" s="38">
        <x:f>'2026.9.11'!J169</x:f>
        <x:v>0</x:v>
      </x:c>
      <x:c r="G211" s="39">
        <x:f>H36</x:f>
        <x:v>0</x:v>
      </x:c>
      <x:c r="H211" s="1"/>
      <x:c r="I211" s="1"/>
      <x:c r="J211" s="36">
        <x:f>F211+I211-G211-H211</x:f>
        <x:v>0</x:v>
      </x:c>
      <x:c r="K211" s="37">
        <x:f>J211/C211</x:f>
        <x:v>0</x:v>
      </x:c>
      <x:c r="L211" s="25" t="str">
        <x:f>IF(J211&lt;M211,119,"")</x:f>
        <x:v/>
      </x:c>
      <x:c r="M211" s="34">
        <x:f>P36*C211</x:f>
        <x:v>0</x:v>
      </x:c>
      <x:c r="N211" s="35">
        <x:f>J211-M211</x:f>
        <x:v>0</x:v>
      </x:c>
    </x:row>
    <x:row r="212" spans="1:14" customFormat="1" ht="18.75" customHeight="1">
      <x:c r="A212" s="15" t="s">
        <x:v>10</x:v>
      </x:c>
      <x:c r="B212" s="14" t="s">
        <x:v>181</x:v>
      </x:c>
      <x:c r="C212" s="6">
        <x:v>1</x:v>
      </x:c>
      <x:c r="D212" s="14" t="s">
        <x:v>247</x:v>
      </x:c>
      <x:c r="E212" s="1" t="s">
        <x:v>86</x:v>
      </x:c>
      <x:c r="F212" s="38">
        <x:f>'2026.9.11'!J170</x:f>
        <x:v>0</x:v>
      </x:c>
      <x:c r="G212" s="39">
        <x:f>H37</x:f>
        <x:v>0</x:v>
      </x:c>
      <x:c r="H212" s="1"/>
      <x:c r="I212" s="1"/>
      <x:c r="J212" s="36">
        <x:f>F212+I212-G212-H212</x:f>
        <x:v>0</x:v>
      </x:c>
      <x:c r="K212" s="37">
        <x:f>J212/C212</x:f>
        <x:v>0</x:v>
      </x:c>
      <x:c r="L212" s="25" t="str">
        <x:f>IF(J212&lt;M212,119,"")</x:f>
        <x:v/>
      </x:c>
      <x:c r="M212" s="34">
        <x:f>P37*C212</x:f>
        <x:v>0</x:v>
      </x:c>
      <x:c r="N212" s="35">
        <x:f>J212-M212</x:f>
        <x:v>0</x:v>
      </x:c>
    </x:row>
    <x:row r="213" spans="1:14" customFormat="1" ht="18.75" customHeight="1">
      <x:c r="A213" s="15" t="s">
        <x:v>10</x:v>
      </x:c>
      <x:c r="B213" s="14" t="s">
        <x:v>181</x:v>
      </x:c>
      <x:c r="C213" s="6">
        <x:v>1</x:v>
      </x:c>
      <x:c r="D213" s="14" t="s">
        <x:v>11</x:v>
      </x:c>
      <x:c r="E213" s="1" t="s">
        <x:v>109</x:v>
      </x:c>
      <x:c r="F213" s="38">
        <x:f>'2026.9.11'!J171</x:f>
        <x:v>2</x:v>
      </x:c>
      <x:c r="G213" s="39">
        <x:f>SUM(H38:H39)*C213</x:f>
        <x:v>0</x:v>
      </x:c>
      <x:c r="H213" s="1"/>
      <x:c r="I213" s="1"/>
      <x:c r="J213" s="36">
        <x:f>F213+I213-G213-H213</x:f>
        <x:v>2</x:v>
      </x:c>
      <x:c r="K213" s="37">
        <x:f>J213/C213</x:f>
        <x:v>2</x:v>
      </x:c>
      <x:c r="L213" s="25" t="str">
        <x:f>IF(J213&lt;M213,119,"")</x:f>
        <x:v/>
      </x:c>
      <x:c r="M213" s="34">
        <x:f>SUM(P38:P39)*C213</x:f>
        <x:v>0</x:v>
      </x:c>
      <x:c r="N213" s="35">
        <x:f>J213-M213</x:f>
        <x:v>2</x:v>
      </x:c>
    </x:row>
    <x:row r="214" spans="1:14" customFormat="1" ht="18.75" customHeight="1">
      <x:c r="A214" s="15" t="s">
        <x:v>10</x:v>
      </x:c>
      <x:c r="B214" s="14" t="s">
        <x:v>137</x:v>
      </x:c>
      <x:c r="C214" s="6">
        <x:v>1</x:v>
      </x:c>
      <x:c r="D214" s="14" t="s">
        <x:v>83</x:v>
      </x:c>
      <x:c r="E214" s="1"/>
      <x:c r="F214" s="38">
        <x:f>'2026.9.11'!J172</x:f>
        <x:v>0</x:v>
      </x:c>
      <x:c r="G214" s="39">
        <x:f>J6*C214</x:f>
        <x:v>0</x:v>
      </x:c>
      <x:c r="H214" s="1"/>
      <x:c r="I214" s="1"/>
      <x:c r="J214" s="36">
        <x:f>F214+I214-G214-H214</x:f>
        <x:v>0</x:v>
      </x:c>
      <x:c r="K214" s="37">
        <x:f>J214/C214</x:f>
        <x:v>0</x:v>
      </x:c>
      <x:c r="L214" s="25">
        <x:f>IF(J214&lt;M214,119,"")</x:f>
        <x:v>119</x:v>
      </x:c>
      <x:c r="M214" s="34">
        <x:f>R6*C214</x:f>
        <x:v>13</x:v>
      </x:c>
      <x:c r="N214" s="35">
        <x:f>J214-M214</x:f>
        <x:v>-13</x:v>
      </x:c>
    </x:row>
    <x:row r="215" spans="1:14" customFormat="1" ht="18.75" customHeight="1">
      <x:c r="A215" s="15" t="s">
        <x:v>10</x:v>
      </x:c>
      <x:c r="B215" s="14" t="s">
        <x:v>137</x:v>
      </x:c>
      <x:c r="C215" s="6">
        <x:v>1</x:v>
      </x:c>
      <x:c r="D215" s="14" t="s">
        <x:v>41</x:v>
      </x:c>
      <x:c r="E215" s="1"/>
      <x:c r="F215" s="38">
        <x:f>'2026.9.11'!J173</x:f>
        <x:v>0</x:v>
      </x:c>
      <x:c r="G215" s="39">
        <x:f>J7*C215</x:f>
        <x:v>0</x:v>
      </x:c>
      <x:c r="H215" s="1"/>
      <x:c r="I215" s="1"/>
      <x:c r="J215" s="36">
        <x:f>F215+I215-G215-H215</x:f>
        <x:v>0</x:v>
      </x:c>
      <x:c r="K215" s="37">
        <x:f>J215/C215</x:f>
        <x:v>0</x:v>
      </x:c>
      <x:c r="L215" s="25" t="str">
        <x:f>IF(J215&lt;M215,119,"")</x:f>
        <x:v/>
      </x:c>
      <x:c r="M215" s="34">
        <x:f>R7*C215</x:f>
        <x:v>0</x:v>
      </x:c>
      <x:c r="N215" s="35">
        <x:f>J215-M215</x:f>
        <x:v>0</x:v>
      </x:c>
    </x:row>
    <x:row r="216" spans="1:14" customFormat="1" ht="18.75" customHeight="1">
      <x:c r="A216" s="15" t="s">
        <x:v>10</x:v>
      </x:c>
      <x:c r="B216" s="14" t="s">
        <x:v>143</x:v>
      </x:c>
      <x:c r="C216" s="6">
        <x:v>1</x:v>
      </x:c>
      <x:c r="D216" s="14" t="s">
        <x:v>47</x:v>
      </x:c>
      <x:c r="E216" s="1" t="s">
        <x:v>113</x:v>
      </x:c>
      <x:c r="F216" s="38">
        <x:f>'2026.9.11'!J174</x:f>
        <x:v>7</x:v>
      </x:c>
      <x:c r="G216" s="39">
        <x:f>J8*C216</x:f>
        <x:v>0</x:v>
      </x:c>
      <x:c r="H216" s="1"/>
      <x:c r="I216" s="1"/>
      <x:c r="J216" s="36">
        <x:f>F216+I216-G216-H216</x:f>
        <x:v>7</x:v>
      </x:c>
      <x:c r="K216" s="37">
        <x:f>J216/C216</x:f>
        <x:v>7</x:v>
      </x:c>
      <x:c r="L216" s="25">
        <x:f>IF(J216&lt;M216,119,"")</x:f>
        <x:v>119</x:v>
      </x:c>
      <x:c r="M216" s="34">
        <x:f>R8*C216</x:f>
        <x:v>10</x:v>
      </x:c>
      <x:c r="N216" s="35">
        <x:f>J216-M216</x:f>
        <x:v>-3</x:v>
      </x:c>
    </x:row>
    <x:row r="217" spans="1:14" customFormat="1" ht="18.75" customHeight="1">
      <x:c r="A217" s="15" t="s">
        <x:v>10</x:v>
      </x:c>
      <x:c r="B217" s="14" t="s">
        <x:v>143</x:v>
      </x:c>
      <x:c r="C217" s="6">
        <x:v>1</x:v>
      </x:c>
      <x:c r="D217" s="9" t="s">
        <x:v>73</x:v>
      </x:c>
      <x:c r="E217" s="1" t="s">
        <x:v>105</x:v>
      </x:c>
      <x:c r="F217" s="38">
        <x:f>'2026.9.11'!J175</x:f>
        <x:v>0</x:v>
      </x:c>
      <x:c r="G217" s="39">
        <x:f>J9*C217</x:f>
        <x:v>0</x:v>
      </x:c>
      <x:c r="H217" s="1"/>
      <x:c r="I217" s="1"/>
      <x:c r="J217" s="36">
        <x:f>F217+I217-G217-H217</x:f>
        <x:v>0</x:v>
      </x:c>
      <x:c r="K217" s="37">
        <x:f>J217/C217</x:f>
        <x:v>0</x:v>
      </x:c>
      <x:c r="L217" s="25">
        <x:f>IF(J217&lt;M217,119,"")</x:f>
        <x:v>119</x:v>
      </x:c>
      <x:c r="M217" s="34">
        <x:f>R9*C217</x:f>
        <x:v>10</x:v>
      </x:c>
      <x:c r="N217" s="35">
        <x:f>J217-M217</x:f>
        <x:v>-10</x:v>
      </x:c>
    </x:row>
    <x:row r="218" spans="1:14" customFormat="1" ht="18.75" customHeight="1">
      <x:c r="A218" s="15" t="s">
        <x:v>34</x:v>
      </x:c>
      <x:c r="B218" s="14" t="s">
        <x:v>181</x:v>
      </x:c>
      <x:c r="C218" s="6">
        <x:v>1</x:v>
      </x:c>
      <x:c r="D218" s="14" t="s">
        <x:v>268</x:v>
      </x:c>
      <x:c r="E218" s="1" t="s">
        <x:v>207</x:v>
      </x:c>
      <x:c r="F218" s="38">
        <x:f>'2026.9.11'!J176</x:f>
        <x:v>46</x:v>
      </x:c>
      <x:c r="G218" s="39">
        <x:f>SUM(H4:H31)*C218</x:f>
        <x:v>0</x:v>
      </x:c>
      <x:c r="H218" s="1"/>
      <x:c r="I218" s="1"/>
      <x:c r="J218" s="36">
        <x:f>F218+I218-G218-H218</x:f>
        <x:v>46</x:v>
      </x:c>
      <x:c r="K218" s="37">
        <x:f>J218/C218</x:f>
        <x:v>46</x:v>
      </x:c>
      <x:c r="L218" s="25">
        <x:f>IF(J218&lt;M218,119,"")</x:f>
        <x:v>119</x:v>
      </x:c>
      <x:c r="M218" s="34">
        <x:f>SUM(P4:P31)*C218</x:f>
        <x:v>83</x:v>
      </x:c>
      <x:c r="N218" s="35">
        <x:f>J218-M218</x:f>
        <x:v>-37</x:v>
      </x:c>
    </x:row>
    <x:row r="219" spans="1:14" customFormat="1" ht="18.75" customHeight="1">
      <x:c r="A219" s="15" t="s">
        <x:v>34</x:v>
      </x:c>
      <x:c r="B219" s="14" t="s">
        <x:v>181</x:v>
      </x:c>
      <x:c r="C219" s="6">
        <x:v>1</x:v>
      </x:c>
      <x:c r="D219" s="14" t="s">
        <x:v>70</x:v>
      </x:c>
      <x:c r="E219" s="1" t="s">
        <x:v>190</x:v>
      </x:c>
      <x:c r="F219" s="38">
        <x:f>'2026.9.11'!J177</x:f>
        <x:v>78</x:v>
      </x:c>
      <x:c r="G219" s="39">
        <x:f>SUM(H32:H35)*C219</x:f>
        <x:v>0</x:v>
      </x:c>
      <x:c r="H219" s="1"/>
      <x:c r="I219" s="1"/>
      <x:c r="J219" s="36">
        <x:f>F219+I219-G219-H219</x:f>
        <x:v>78</x:v>
      </x:c>
      <x:c r="K219" s="37">
        <x:f>J219/C219</x:f>
        <x:v>78</x:v>
      </x:c>
      <x:c r="L219" s="25" t="str">
        <x:f>IF(J219&lt;M219,119,"")</x:f>
        <x:v/>
      </x:c>
      <x:c r="M219" s="34">
        <x:f>SUM(P32:P35)*C219</x:f>
        <x:v>17</x:v>
      </x:c>
      <x:c r="N219" s="35">
        <x:f>J219-M219</x:f>
        <x:v>61</x:v>
      </x:c>
    </x:row>
    <x:row r="220" spans="1:14" customFormat="1" ht="18.75" customHeight="1">
      <x:c r="A220" s="15" t="s">
        <x:v>34</x:v>
      </x:c>
      <x:c r="B220" s="14" t="s">
        <x:v>181</x:v>
      </x:c>
      <x:c r="C220" s="6">
        <x:v>1</x:v>
      </x:c>
      <x:c r="D220" s="14" t="s">
        <x:v>276</x:v>
      </x:c>
      <x:c r="E220" s="1" t="s">
        <x:v>111</x:v>
      </x:c>
      <x:c r="F220" s="38">
        <x:f>'2026.9.11'!J178</x:f>
        <x:v>0</x:v>
      </x:c>
      <x:c r="G220" s="39">
        <x:f>SUM(H36:H37)*C220</x:f>
        <x:v>0</x:v>
      </x:c>
      <x:c r="H220" s="1"/>
      <x:c r="I220" s="1"/>
      <x:c r="J220" s="36">
        <x:f>F220+I220-G220-H220</x:f>
        <x:v>0</x:v>
      </x:c>
      <x:c r="K220" s="37">
        <x:f>J220/C220</x:f>
        <x:v>0</x:v>
      </x:c>
      <x:c r="L220" s="25" t="str">
        <x:f>IF(J220&lt;M220,119,"")</x:f>
        <x:v/>
      </x:c>
      <x:c r="M220" s="34">
        <x:f>SUM(P36:P37)*C220</x:f>
        <x:v>0</x:v>
      </x:c>
      <x:c r="N220" s="35">
        <x:f>J220-M220</x:f>
        <x:v>0</x:v>
      </x:c>
    </x:row>
    <x:row r="221" spans="1:14" customFormat="1" ht="18.75" customHeight="1">
      <x:c r="A221" s="15" t="s">
        <x:v>34</x:v>
      </x:c>
      <x:c r="B221" s="14" t="s">
        <x:v>181</x:v>
      </x:c>
      <x:c r="C221" s="6">
        <x:v>1</x:v>
      </x:c>
      <x:c r="D221" s="14" t="s">
        <x:v>11</x:v>
      </x:c>
      <x:c r="E221" s="1" t="s">
        <x:v>115</x:v>
      </x:c>
      <x:c r="F221" s="38">
        <x:f>'2026.9.11'!J179</x:f>
        <x:v>2</x:v>
      </x:c>
      <x:c r="G221" s="39">
        <x:f>SUM(H38:H39)*C221</x:f>
        <x:v>0</x:v>
      </x:c>
      <x:c r="H221" s="1"/>
      <x:c r="I221" s="1"/>
      <x:c r="J221" s="36">
        <x:f>F221+I221-G221-H221</x:f>
        <x:v>2</x:v>
      </x:c>
      <x:c r="K221" s="37">
        <x:f>J221/C221</x:f>
        <x:v>2</x:v>
      </x:c>
      <x:c r="L221" s="25" t="str">
        <x:f>IF(J221&lt;M221,119,"")</x:f>
        <x:v/>
      </x:c>
      <x:c r="M221" s="34">
        <x:f>SUM(P38:P39)*C221</x:f>
        <x:v>0</x:v>
      </x:c>
      <x:c r="N221" s="35">
        <x:f>J221-M221</x:f>
        <x:v>2</x:v>
      </x:c>
    </x:row>
    <x:row r="222" spans="1:14" customFormat="1" ht="18.75" customHeight="1">
      <x:c r="A222" s="15" t="s">
        <x:v>29</x:v>
      </x:c>
      <x:c r="B222" s="14" t="s">
        <x:v>137</x:v>
      </x:c>
      <x:c r="C222" s="1">
        <x:v>1</x:v>
      </x:c>
      <x:c r="D222" s="14" t="s">
        <x:v>244</x:v>
      </x:c>
      <x:c r="E222" s="1" t="s">
        <x:v>227</x:v>
      </x:c>
      <x:c r="F222" s="38">
        <x:f>'2026.9.11'!J180</x:f>
        <x:v>0</x:v>
      </x:c>
      <x:c r="G222" s="39">
        <x:f>H36*C222</x:f>
        <x:v>0</x:v>
      </x:c>
      <x:c r="H222" s="1"/>
      <x:c r="I222" s="1"/>
      <x:c r="J222" s="36">
        <x:f>F222+I222-G222-H222</x:f>
        <x:v>0</x:v>
      </x:c>
      <x:c r="K222" s="37">
        <x:f>J222/C222</x:f>
        <x:v>0</x:v>
      </x:c>
      <x:c r="L222" s="25" t="str">
        <x:f>IF(J222&lt;M222,119,"")</x:f>
        <x:v/>
      </x:c>
      <x:c r="M222" s="34">
        <x:f>P36*C222</x:f>
        <x:v>0</x:v>
      </x:c>
      <x:c r="N222" s="35">
        <x:f>J222-M222</x:f>
        <x:v>0</x:v>
      </x:c>
    </x:row>
    <x:row r="223" spans="1:14" customFormat="1" ht="18.75" customHeight="1">
      <x:c r="A223" s="15" t="s">
        <x:v>29</x:v>
      </x:c>
      <x:c r="B223" s="14" t="s">
        <x:v>137</x:v>
      </x:c>
      <x:c r="C223" s="1">
        <x:v>1</x:v>
      </x:c>
      <x:c r="D223" s="14" t="s">
        <x:v>247</x:v>
      </x:c>
      <x:c r="E223" s="1" t="s">
        <x:v>195</x:v>
      </x:c>
      <x:c r="F223" s="38">
        <x:f>'2026.9.11'!J181</x:f>
        <x:v>0</x:v>
      </x:c>
      <x:c r="G223" s="39">
        <x:f>H37*C223</x:f>
        <x:v>0</x:v>
      </x:c>
      <x:c r="H223" s="1"/>
      <x:c r="I223" s="1"/>
      <x:c r="J223" s="36">
        <x:f>F223+I223-G223-H223</x:f>
        <x:v>0</x:v>
      </x:c>
      <x:c r="K223" s="37">
        <x:f>J223/C223</x:f>
        <x:v>0</x:v>
      </x:c>
      <x:c r="L223" s="25" t="str">
        <x:f>IF(J223&lt;M223,119,"")</x:f>
        <x:v/>
      </x:c>
      <x:c r="M223" s="34">
        <x:f>P37*C223</x:f>
        <x:v>0</x:v>
      </x:c>
      <x:c r="N223" s="35">
        <x:f>J223-M223</x:f>
        <x:v>0</x:v>
      </x:c>
    </x:row>
    <x:row r="224" spans="1:14" ht="18.75" customHeight="1">
      <x:c r="A224" s="15" t="s">
        <x:v>29</x:v>
      </x:c>
      <x:c r="B224" s="14" t="s">
        <x:v>137</x:v>
      </x:c>
      <x:c r="C224" s="1">
        <x:v>1</x:v>
      </x:c>
      <x:c r="D224" s="9" t="s">
        <x:v>83</x:v>
      </x:c>
      <x:c r="E224" s="1" t="s">
        <x:v>126</x:v>
      </x:c>
      <x:c r="F224" s="38">
        <x:f>'2026.9.11'!J182</x:f>
        <x:v>0</x:v>
      </x:c>
      <x:c r="G224" s="39">
        <x:f>J6*C224</x:f>
        <x:v>0</x:v>
      </x:c>
      <x:c r="J224" s="36">
        <x:f>F224+I224-G224-H224</x:f>
        <x:v>0</x:v>
      </x:c>
      <x:c r="K224" s="37">
        <x:f>J224/C224</x:f>
        <x:v>0</x:v>
      </x:c>
      <x:c r="L224" s="25">
        <x:f>IF(J224&lt;M224,119,"")</x:f>
        <x:v>119</x:v>
      </x:c>
      <x:c r="M224" s="34">
        <x:f>R6*C224</x:f>
        <x:v>13</x:v>
      </x:c>
      <x:c r="N224" s="35">
        <x:f>J224-M224</x:f>
        <x:v>-13</x:v>
      </x:c>
    </x:row>
    <x:row r="225" spans="1:14" ht="18.75" customHeight="1">
      <x:c r="A225" s="15" t="s">
        <x:v>29</x:v>
      </x:c>
      <x:c r="B225" s="14" t="s">
        <x:v>137</x:v>
      </x:c>
      <x:c r="C225" s="1">
        <x:v>1</x:v>
      </x:c>
      <x:c r="D225" s="9" t="s">
        <x:v>41</x:v>
      </x:c>
      <x:c r="E225" s="1" t="s">
        <x:v>131</x:v>
      </x:c>
      <x:c r="F225" s="38">
        <x:f>'2026.9.11'!J183</x:f>
        <x:v>3</x:v>
      </x:c>
      <x:c r="G225" s="39">
        <x:f>J7*C225</x:f>
        <x:v>0</x:v>
      </x:c>
      <x:c r="J225" s="36">
        <x:f>F225+I225-G225-H225</x:f>
        <x:v>3</x:v>
      </x:c>
      <x:c r="K225" s="37">
        <x:f>J225/C225</x:f>
        <x:v>3</x:v>
      </x:c>
      <x:c r="L225" s="25" t="str">
        <x:f>IF(J225&lt;M225,119,"")</x:f>
        <x:v/>
      </x:c>
      <x:c r="M225" s="34">
        <x:f>R7*C225</x:f>
        <x:v>0</x:v>
      </x:c>
      <x:c r="N225" s="35">
        <x:f>J225-M225</x:f>
        <x:v>3</x:v>
      </x:c>
    </x:row>
    <x:row r="226" spans="1:14" ht="18.75" customHeight="1">
      <x:c r="A226" s="15" t="s">
        <x:v>29</x:v>
      </x:c>
      <x:c r="B226" s="14" t="s">
        <x:v>137</x:v>
      </x:c>
      <x:c r="C226" s="1">
        <x:v>1</x:v>
      </x:c>
      <x:c r="D226" s="9" t="s">
        <x:v>47</x:v>
      </x:c>
      <x:c r="E226" s="1" t="s">
        <x:v>136</x:v>
      </x:c>
      <x:c r="F226" s="38">
        <x:f>'2026.9.11'!J184</x:f>
        <x:v>8</x:v>
      </x:c>
      <x:c r="G226" s="39">
        <x:f>J8*C226</x:f>
        <x:v>0</x:v>
      </x:c>
      <x:c r="J226" s="36">
        <x:f>F226+I226-G226-H226</x:f>
        <x:v>8</x:v>
      </x:c>
      <x:c r="K226" s="37">
        <x:f>J226/C226</x:f>
        <x:v>8</x:v>
      </x:c>
      <x:c r="L226" s="25">
        <x:f>IF(J226&lt;M226,119,"")</x:f>
        <x:v>119</x:v>
      </x:c>
      <x:c r="M226" s="34">
        <x:f>R8*C226</x:f>
        <x:v>10</x:v>
      </x:c>
      <x:c r="N226" s="35">
        <x:f>J226-M226</x:f>
        <x:v>-2</x:v>
      </x:c>
    </x:row>
    <x:row r="227" spans="1:14" ht="18.75" customHeight="1">
      <x:c r="A227" s="15" t="s">
        <x:v>29</x:v>
      </x:c>
      <x:c r="B227" s="14" t="s">
        <x:v>137</x:v>
      </x:c>
      <x:c r="C227" s="1">
        <x:v>1</x:v>
      </x:c>
      <x:c r="D227" s="9" t="s">
        <x:v>73</x:v>
      </x:c>
      <x:c r="E227" s="1" t="s">
        <x:v>136</x:v>
      </x:c>
      <x:c r="F227" s="38">
        <x:f>'2026.9.11'!J185</x:f>
        <x:v>0</x:v>
      </x:c>
      <x:c r="G227" s="39">
        <x:f>J9*C227</x:f>
        <x:v>0</x:v>
      </x:c>
      <x:c r="J227" s="36">
        <x:f>F227+I227-G227-H227</x:f>
        <x:v>0</x:v>
      </x:c>
      <x:c r="K227" s="37">
        <x:f>J227/C227</x:f>
        <x:v>0</x:v>
      </x:c>
      <x:c r="L227" s="25">
        <x:f>IF(J227&lt;M227,119,"")</x:f>
        <x:v>119</x:v>
      </x:c>
      <x:c r="M227" s="34">
        <x:f>R9*C227</x:f>
        <x:v>10</x:v>
      </x:c>
      <x:c r="N227" s="35">
        <x:f>J227-M227</x:f>
        <x:v>-10</x:v>
      </x:c>
    </x:row>
    <x:row r="228" spans="1:14" customFormat="1" ht="18.75" customHeight="1">
      <x:c r="A228" s="15" t="s">
        <x:v>81</x:v>
      </x:c>
      <x:c r="B228" s="14" t="s">
        <x:v>143</x:v>
      </x:c>
      <x:c r="C228" s="1">
        <x:v>1</x:v>
      </x:c>
      <x:c r="D228" s="14" t="s">
        <x:v>244</x:v>
      </x:c>
      <x:c r="E228" s="1" t="s">
        <x:v>182</x:v>
      </x:c>
      <x:c r="F228" s="38">
        <x:f>'2026.9.11'!J186</x:f>
        <x:v>0</x:v>
      </x:c>
      <x:c r="G228" s="39">
        <x:f>H36*C228</x:f>
        <x:v>0</x:v>
      </x:c>
      <x:c r="H228" s="1"/>
      <x:c r="I228" s="1"/>
      <x:c r="J228" s="36">
        <x:f>F228+I228-G228-H228</x:f>
        <x:v>0</x:v>
      </x:c>
      <x:c r="K228" s="37">
        <x:f>J228/C228</x:f>
        <x:v>0</x:v>
      </x:c>
      <x:c r="L228" s="25" t="str">
        <x:f>IF(J228&lt;M228,119,"")</x:f>
        <x:v/>
      </x:c>
      <x:c r="M228" s="34">
        <x:f>P36*C228</x:f>
        <x:v>0</x:v>
      </x:c>
      <x:c r="N228" s="35">
        <x:f>J228-M228</x:f>
        <x:v>0</x:v>
      </x:c>
    </x:row>
    <x:row r="229" spans="1:14" customFormat="1" ht="18.75" customHeight="1">
      <x:c r="A229" s="15" t="s">
        <x:v>81</x:v>
      </x:c>
      <x:c r="B229" s="14" t="s">
        <x:v>143</x:v>
      </x:c>
      <x:c r="C229" s="1">
        <x:v>1</x:v>
      </x:c>
      <x:c r="D229" s="14" t="s">
        <x:v>247</x:v>
      </x:c>
      <x:c r="E229" s="1" t="s">
        <x:v>193</x:v>
      </x:c>
      <x:c r="F229" s="38">
        <x:f>'2026.9.11'!J187</x:f>
        <x:v>0</x:v>
      </x:c>
      <x:c r="G229" s="39">
        <x:f>H37*C229</x:f>
        <x:v>0</x:v>
      </x:c>
      <x:c r="H229" s="1"/>
      <x:c r="I229" s="1"/>
      <x:c r="J229" s="36">
        <x:f>F229+I229-G229-H229</x:f>
        <x:v>0</x:v>
      </x:c>
      <x:c r="K229" s="37">
        <x:f>J229/C229</x:f>
        <x:v>0</x:v>
      </x:c>
      <x:c r="L229" s="25" t="str">
        <x:f>IF(J229&lt;M229,119,"")</x:f>
        <x:v/>
      </x:c>
      <x:c r="M229" s="34">
        <x:f>P37*C229</x:f>
        <x:v>0</x:v>
      </x:c>
      <x:c r="N229" s="35">
        <x:f>J229-M229</x:f>
        <x:v>0</x:v>
      </x:c>
    </x:row>
    <x:row r="230" spans="1:14" ht="18.75" customHeight="1">
      <x:c r="A230" s="15" t="s">
        <x:v>81</x:v>
      </x:c>
      <x:c r="B230" s="14" t="s">
        <x:v>172</x:v>
      </x:c>
      <x:c r="C230" s="1">
        <x:v>1</x:v>
      </x:c>
      <x:c r="D230" s="9" t="s">
        <x:v>83</x:v>
      </x:c>
      <x:c r="F230" s="38">
        <x:f>'2026.9.11'!J188</x:f>
        <x:v>0</x:v>
      </x:c>
      <x:c r="G230" s="39">
        <x:f>J6*C230</x:f>
        <x:v>0</x:v>
      </x:c>
      <x:c r="J230" s="36">
        <x:f>F230+I230-G230-H230</x:f>
        <x:v>0</x:v>
      </x:c>
      <x:c r="K230" s="37">
        <x:f>J230/C230</x:f>
        <x:v>0</x:v>
      </x:c>
      <x:c r="L230" s="25">
        <x:f>IF(J230&lt;M230,119,"")</x:f>
        <x:v>119</x:v>
      </x:c>
      <x:c r="M230" s="34">
        <x:f>R6*C230</x:f>
        <x:v>13</x:v>
      </x:c>
      <x:c r="N230" s="35">
        <x:f>J230-M230</x:f>
        <x:v>-13</x:v>
      </x:c>
    </x:row>
    <x:row r="231" spans="1:14" ht="18.75" customHeight="1">
      <x:c r="A231" s="15" t="s">
        <x:v>81</x:v>
      </x:c>
      <x:c r="B231" s="14" t="s">
        <x:v>172</x:v>
      </x:c>
      <x:c r="C231" s="1">
        <x:v>1</x:v>
      </x:c>
      <x:c r="D231" s="9" t="s">
        <x:v>41</x:v>
      </x:c>
      <x:c r="F231" s="38">
        <x:f>'2026.9.11'!J189</x:f>
        <x:v>0</x:v>
      </x:c>
      <x:c r="G231" s="39">
        <x:f>J7*C231</x:f>
        <x:v>0</x:v>
      </x:c>
      <x:c r="J231" s="36">
        <x:f>F231+I231-G231-H231</x:f>
        <x:v>0</x:v>
      </x:c>
      <x:c r="K231" s="37">
        <x:f>J231/C231</x:f>
        <x:v>0</x:v>
      </x:c>
      <x:c r="L231" s="25" t="str">
        <x:f>IF(J231&lt;M231,119,"")</x:f>
        <x:v/>
      </x:c>
      <x:c r="M231" s="34">
        <x:f>R7*C231</x:f>
        <x:v>0</x:v>
      </x:c>
      <x:c r="N231" s="35">
        <x:f>J231-M231</x:f>
        <x:v>0</x:v>
      </x:c>
    </x:row>
    <x:row r="232" spans="1:14" ht="18.75" customHeight="1">
      <x:c r="A232" s="15" t="s">
        <x:v>81</x:v>
      </x:c>
      <x:c r="B232" s="14" t="s">
        <x:v>172</x:v>
      </x:c>
      <x:c r="C232" s="1">
        <x:v>1</x:v>
      </x:c>
      <x:c r="D232" s="9" t="s">
        <x:v>47</x:v>
      </x:c>
      <x:c r="F232" s="38">
        <x:f>'2026.9.11'!J190</x:f>
        <x:v>7</x:v>
      </x:c>
      <x:c r="G232" s="39">
        <x:f>J8*C232</x:f>
        <x:v>0</x:v>
      </x:c>
      <x:c r="J232" s="36">
        <x:f>F232+I232-G232-H232</x:f>
        <x:v>7</x:v>
      </x:c>
      <x:c r="K232" s="37">
        <x:f>J232/C232</x:f>
        <x:v>7</x:v>
      </x:c>
      <x:c r="L232" s="25">
        <x:f>IF(J232&lt;M232,119,"")</x:f>
        <x:v>119</x:v>
      </x:c>
      <x:c r="M232" s="34">
        <x:f>R8*C232</x:f>
        <x:v>10</x:v>
      </x:c>
      <x:c r="N232" s="35">
        <x:f>J232-M232</x:f>
        <x:v>-3</x:v>
      </x:c>
    </x:row>
    <x:row r="233" spans="1:14" ht="18.75" customHeight="1">
      <x:c r="A233" s="15" t="s">
        <x:v>81</x:v>
      </x:c>
      <x:c r="B233" s="14" t="s">
        <x:v>172</x:v>
      </x:c>
      <x:c r="C233" s="1">
        <x:v>1</x:v>
      </x:c>
      <x:c r="D233" s="9" t="s">
        <x:v>73</x:v>
      </x:c>
      <x:c r="F233" s="38">
        <x:f>'2026.9.11'!J191</x:f>
        <x:v>1</x:v>
      </x:c>
      <x:c r="G233" s="39">
        <x:f>J9*C233</x:f>
        <x:v>0</x:v>
      </x:c>
      <x:c r="J233" s="36">
        <x:f>F233+I233-G233-H233</x:f>
        <x:v>1</x:v>
      </x:c>
      <x:c r="K233" s="37">
        <x:f>J233/C233</x:f>
        <x:v>1</x:v>
      </x:c>
      <x:c r="L233" s="25">
        <x:f>IF(J233&lt;M233,119,"")</x:f>
        <x:v>119</x:v>
      </x:c>
      <x:c r="M233" s="34">
        <x:f>R9*C233</x:f>
        <x:v>10</x:v>
      </x:c>
      <x:c r="N233" s="35">
        <x:f>J233-M233</x:f>
        <x:v>-9</x:v>
      </x:c>
    </x:row>
    <x:row r="234" spans="1:14" ht="18.75" customHeight="1">
      <x:c r="A234" s="15" t="s">
        <x:v>13</x:v>
      </x:c>
      <x:c r="B234" s="14" t="s">
        <x:v>137</x:v>
      </x:c>
      <x:c r="C234" s="1">
        <x:v>1</x:v>
      </x:c>
      <x:c r="D234" s="9" t="s">
        <x:v>83</x:v>
      </x:c>
      <x:c r="E234" s="1" t="s">
        <x:v>214</x:v>
      </x:c>
      <x:c r="F234" s="38">
        <x:f>'2026.9.11'!J192</x:f>
        <x:v>1</x:v>
      </x:c>
      <x:c r="G234" s="39">
        <x:f>J6*C234</x:f>
        <x:v>0</x:v>
      </x:c>
      <x:c r="J234" s="36">
        <x:f>F234+I234-G234-H234</x:f>
        <x:v>1</x:v>
      </x:c>
      <x:c r="K234" s="37">
        <x:f>J234/C234</x:f>
        <x:v>1</x:v>
      </x:c>
      <x:c r="L234" s="25">
        <x:f>IF(J234&lt;M234,119,"")</x:f>
        <x:v>119</x:v>
      </x:c>
      <x:c r="M234" s="34">
        <x:f>R6*C234</x:f>
        <x:v>13</x:v>
      </x:c>
      <x:c r="N234" s="35">
        <x:f>J234-M234</x:f>
        <x:v>-12</x:v>
      </x:c>
    </x:row>
    <x:row r="235" spans="1:14" ht="18.75" customHeight="1">
      <x:c r="A235" s="15" t="s">
        <x:v>13</x:v>
      </x:c>
      <x:c r="B235" s="14" t="s">
        <x:v>137</x:v>
      </x:c>
      <x:c r="C235" s="1">
        <x:v>1</x:v>
      </x:c>
      <x:c r="D235" s="9" t="s">
        <x:v>41</x:v>
      </x:c>
      <x:c r="E235" s="1" t="s">
        <x:v>191</x:v>
      </x:c>
      <x:c r="F235" s="38">
        <x:f>'2026.9.11'!J193</x:f>
        <x:v>1</x:v>
      </x:c>
      <x:c r="G235" s="39">
        <x:f>J7*C235</x:f>
        <x:v>0</x:v>
      </x:c>
      <x:c r="J235" s="36">
        <x:f>F235+I235-G235-H235</x:f>
        <x:v>1</x:v>
      </x:c>
      <x:c r="K235" s="37">
        <x:f>J235/C235</x:f>
        <x:v>1</x:v>
      </x:c>
      <x:c r="L235" s="25" t="str">
        <x:f>IF(J235&lt;M235,119,"")</x:f>
        <x:v/>
      </x:c>
      <x:c r="M235" s="34">
        <x:f>R7*C235</x:f>
        <x:v>0</x:v>
      </x:c>
      <x:c r="N235" s="35">
        <x:f>J235-M235</x:f>
        <x:v>1</x:v>
      </x:c>
    </x:row>
    <x:row r="236" spans="1:14" ht="18.75" customHeight="1">
      <x:c r="A236" s="15" t="s">
        <x:v>13</x:v>
      </x:c>
      <x:c r="B236" s="14" t="s">
        <x:v>137</x:v>
      </x:c>
      <x:c r="C236" s="1">
        <x:v>1</x:v>
      </x:c>
      <x:c r="D236" s="9" t="s">
        <x:v>47</x:v>
      </x:c>
      <x:c r="E236" s="1" t="s">
        <x:v>218</x:v>
      </x:c>
      <x:c r="F236" s="38">
        <x:f>'2026.9.11'!J194</x:f>
        <x:v>6</x:v>
      </x:c>
      <x:c r="G236" s="39">
        <x:f>J8*C236</x:f>
        <x:v>0</x:v>
      </x:c>
      <x:c r="J236" s="36">
        <x:f>F236+I236-G236-H236</x:f>
        <x:v>6</x:v>
      </x:c>
      <x:c r="K236" s="37">
        <x:f>J236/C236</x:f>
        <x:v>6</x:v>
      </x:c>
      <x:c r="L236" s="25">
        <x:f>IF(J236&lt;M236,119,"")</x:f>
        <x:v>119</x:v>
      </x:c>
      <x:c r="M236" s="34">
        <x:f>R8*C236</x:f>
        <x:v>10</x:v>
      </x:c>
      <x:c r="N236" s="35">
        <x:f>J236-M236</x:f>
        <x:v>-4</x:v>
      </x:c>
    </x:row>
    <x:row r="237" spans="1:14" customFormat="1" ht="18.75" customHeight="1">
      <x:c r="A237" s="15" t="s">
        <x:v>144</x:v>
      </x:c>
      <x:c r="B237" s="14" t="s">
        <x:v>62</x:v>
      </x:c>
      <x:c r="C237" s="1">
        <x:v>1</x:v>
      </x:c>
      <x:c r="D237" s="14" t="s">
        <x:v>244</x:v>
      </x:c>
      <x:c r="E237" s="1" t="s">
        <x:v>199</x:v>
      </x:c>
      <x:c r="F237" s="38">
        <x:f>'2026.9.11'!J195</x:f>
        <x:v>0</x:v>
      </x:c>
      <x:c r="G237" s="39">
        <x:f>H36*C237</x:f>
        <x:v>0</x:v>
      </x:c>
      <x:c r="H237" s="1"/>
      <x:c r="I237" s="1"/>
      <x:c r="J237" s="36">
        <x:f>F237+I237-G237-H237</x:f>
        <x:v>0</x:v>
      </x:c>
      <x:c r="K237" s="37">
        <x:f>J237/C237</x:f>
        <x:v>0</x:v>
      </x:c>
      <x:c r="L237" s="25" t="str">
        <x:f>IF(J237&lt;M237,119,"")</x:f>
        <x:v/>
      </x:c>
      <x:c r="M237" s="34">
        <x:f>P36*C237</x:f>
        <x:v>0</x:v>
      </x:c>
      <x:c r="N237" s="35">
        <x:f>J237-M237</x:f>
        <x:v>0</x:v>
      </x:c>
    </x:row>
    <x:row r="238" spans="1:14" customFormat="1" ht="18.75" customHeight="1">
      <x:c r="A238" s="15" t="s">
        <x:v>144</x:v>
      </x:c>
      <x:c r="B238" s="14" t="s">
        <x:v>62</x:v>
      </x:c>
      <x:c r="C238" s="1">
        <x:v>1</x:v>
      </x:c>
      <x:c r="D238" s="14" t="s">
        <x:v>247</x:v>
      </x:c>
      <x:c r="E238" s="1" t="s">
        <x:v>186</x:v>
      </x:c>
      <x:c r="F238" s="38">
        <x:f>'2026.9.11'!J196</x:f>
        <x:v>0</x:v>
      </x:c>
      <x:c r="G238" s="39">
        <x:f>H37*C238</x:f>
        <x:v>0</x:v>
      </x:c>
      <x:c r="H238" s="1"/>
      <x:c r="I238" s="1"/>
      <x:c r="J238" s="36">
        <x:f>F238+I238-G238-H238</x:f>
        <x:v>0</x:v>
      </x:c>
      <x:c r="K238" s="37">
        <x:f>J238/C238</x:f>
        <x:v>0</x:v>
      </x:c>
      <x:c r="L238" s="25" t="str">
        <x:f>IF(J238&lt;M238,119,"")</x:f>
        <x:v/>
      </x:c>
      <x:c r="M238" s="34">
        <x:f>P37*C238</x:f>
        <x:v>0</x:v>
      </x:c>
      <x:c r="N238" s="35">
        <x:f>J238-M238</x:f>
        <x:v>0</x:v>
      </x:c>
    </x:row>
    <x:row r="239" spans="1:14" ht="18.75" customHeight="1">
      <x:c r="A239" s="15" t="s">
        <x:v>144</x:v>
      </x:c>
      <x:c r="B239" s="14" t="s">
        <x:v>62</x:v>
      </x:c>
      <x:c r="C239" s="1">
        <x:v>1</x:v>
      </x:c>
      <x:c r="D239" s="9" t="s">
        <x:v>83</x:v>
      </x:c>
      <x:c r="E239" s="1" t="s">
        <x:v>68</x:v>
      </x:c>
      <x:c r="F239" s="38">
        <x:f>'2026.9.11'!J197</x:f>
        <x:v>35</x:v>
      </x:c>
      <x:c r="G239" s="39">
        <x:f>J6*C239</x:f>
        <x:v>0</x:v>
      </x:c>
      <x:c r="J239" s="36">
        <x:f>F239+I239-G239-H239</x:f>
        <x:v>35</x:v>
      </x:c>
      <x:c r="K239" s="37">
        <x:f>J239/C239</x:f>
        <x:v>35</x:v>
      </x:c>
      <x:c r="L239" s="25" t="str">
        <x:f>IF(J239&lt;M239,119,"")</x:f>
        <x:v/>
      </x:c>
      <x:c r="M239" s="34">
        <x:f>R6*C239</x:f>
        <x:v>13</x:v>
      </x:c>
      <x:c r="N239" s="35">
        <x:f>J239-M239</x:f>
        <x:v>22</x:v>
      </x:c>
    </x:row>
    <x:row r="240" spans="1:14" ht="18.75" customHeight="1">
      <x:c r="A240" s="15" t="s">
        <x:v>144</x:v>
      </x:c>
      <x:c r="B240" s="14" t="s">
        <x:v>62</x:v>
      </x:c>
      <x:c r="C240" s="1">
        <x:v>1</x:v>
      </x:c>
      <x:c r="D240" s="9" t="s">
        <x:v>41</x:v>
      </x:c>
      <x:c r="E240" s="1" t="s">
        <x:v>107</x:v>
      </x:c>
      <x:c r="F240" s="38">
        <x:f>'2026.9.11'!J198</x:f>
        <x:v>0</x:v>
      </x:c>
      <x:c r="G240" s="39">
        <x:f>J7*C240</x:f>
        <x:v>0</x:v>
      </x:c>
      <x:c r="J240" s="36">
        <x:f>F240+I240-G240-H240</x:f>
        <x:v>0</x:v>
      </x:c>
      <x:c r="K240" s="37">
        <x:f>J240/C240</x:f>
        <x:v>0</x:v>
      </x:c>
      <x:c r="L240" s="25" t="str">
        <x:f>IF(J240&lt;M240,119,"")</x:f>
        <x:v/>
      </x:c>
      <x:c r="M240" s="34">
        <x:f>R7*C240</x:f>
        <x:v>0</x:v>
      </x:c>
      <x:c r="N240" s="35">
        <x:f>J240-M240</x:f>
        <x:v>0</x:v>
      </x:c>
    </x:row>
    <x:row r="241" spans="1:14" ht="18.75" customHeight="1">
      <x:c r="A241" s="15" t="s">
        <x:v>144</x:v>
      </x:c>
      <x:c r="B241" s="14" t="s">
        <x:v>62</x:v>
      </x:c>
      <x:c r="C241" s="1">
        <x:v>1</x:v>
      </x:c>
      <x:c r="D241" s="9" t="s">
        <x:v>47</x:v>
      </x:c>
      <x:c r="E241" s="1" t="s">
        <x:v>59</x:v>
      </x:c>
      <x:c r="F241" s="38">
        <x:f>'2026.9.11'!J199</x:f>
        <x:v>42</x:v>
      </x:c>
      <x:c r="G241" s="39">
        <x:f>J8*C241</x:f>
        <x:v>0</x:v>
      </x:c>
      <x:c r="J241" s="36">
        <x:f>F241+I241-G241-H241</x:f>
        <x:v>42</x:v>
      </x:c>
      <x:c r="K241" s="37">
        <x:f>J241/C241</x:f>
        <x:v>42</x:v>
      </x:c>
      <x:c r="L241" s="25" t="str">
        <x:f>IF(J241&lt;M241,119,"")</x:f>
        <x:v/>
      </x:c>
      <x:c r="M241" s="34">
        <x:f>R8*C241</x:f>
        <x:v>10</x:v>
      </x:c>
      <x:c r="N241" s="35">
        <x:f>J241-M241</x:f>
        <x:v>32</x:v>
      </x:c>
    </x:row>
    <x:row r="242" spans="1:14" ht="18.75" customHeight="1">
      <x:c r="A242" s="15" t="s">
        <x:v>144</x:v>
      </x:c>
      <x:c r="B242" s="14" t="s">
        <x:v>62</x:v>
      </x:c>
      <x:c r="C242" s="1">
        <x:v>1</x:v>
      </x:c>
      <x:c r="D242" s="9" t="s">
        <x:v>73</x:v>
      </x:c>
      <x:c r="E242" s="1" t="s">
        <x:v>56</x:v>
      </x:c>
      <x:c r="F242" s="38">
        <x:f>'2026.9.11'!J200</x:f>
        <x:v>30</x:v>
      </x:c>
      <x:c r="G242" s="39">
        <x:f>J9*C242</x:f>
        <x:v>0</x:v>
      </x:c>
      <x:c r="J242" s="36">
        <x:f>F242+I242-G242-H242</x:f>
        <x:v>30</x:v>
      </x:c>
      <x:c r="K242" s="37">
        <x:f>J242/C242</x:f>
        <x:v>30</x:v>
      </x:c>
      <x:c r="L242" s="25" t="str">
        <x:f>IF(J242&lt;M242,119,"")</x:f>
        <x:v/>
      </x:c>
      <x:c r="M242" s="34">
        <x:f>R9*C242</x:f>
        <x:v>10</x:v>
      </x:c>
      <x:c r="N242" s="35">
        <x:f>J242-M242</x:f>
        <x:v>20</x:v>
      </x:c>
    </x:row>
    <x:row r="243" spans="1:14" customFormat="1" ht="18.75" customHeight="1">
      <x:c r="A243" s="15" t="s">
        <x:v>57</x:v>
      </x:c>
      <x:c r="B243" s="14" t="s">
        <x:v>112</x:v>
      </x:c>
      <x:c r="C243" s="1">
        <x:v>1</x:v>
      </x:c>
      <x:c r="D243" s="14" t="s">
        <x:v>244</x:v>
      </x:c>
      <x:c r="E243" s="1" t="s">
        <x:v>146</x:v>
      </x:c>
      <x:c r="F243" s="38">
        <x:f>'2026.9.11'!J201</x:f>
        <x:v>4</x:v>
      </x:c>
      <x:c r="G243" s="39">
        <x:f>H36*C243</x:f>
        <x:v>0</x:v>
      </x:c>
      <x:c r="H243" s="1"/>
      <x:c r="I243" s="1"/>
      <x:c r="J243" s="36">
        <x:f>F243+I243-G243-H243</x:f>
        <x:v>4</x:v>
      </x:c>
      <x:c r="K243" s="37">
        <x:f>J243/C243</x:f>
        <x:v>4</x:v>
      </x:c>
      <x:c r="L243" s="25" t="str">
        <x:f>IF(J243&lt;M243,119,"")</x:f>
        <x:v/>
      </x:c>
      <x:c r="M243" s="34">
        <x:f>P36*C243</x:f>
        <x:v>0</x:v>
      </x:c>
      <x:c r="N243" s="35">
        <x:f>J243-M243</x:f>
        <x:v>4</x:v>
      </x:c>
    </x:row>
    <x:row r="244" spans="1:14" customFormat="1" ht="18.75" customHeight="1">
      <x:c r="A244" s="15" t="s">
        <x:v>57</x:v>
      </x:c>
      <x:c r="B244" s="14" t="s">
        <x:v>112</x:v>
      </x:c>
      <x:c r="C244" s="1">
        <x:v>1</x:v>
      </x:c>
      <x:c r="D244" s="14" t="s">
        <x:v>247</x:v>
      </x:c>
      <x:c r="E244" s="1" t="s">
        <x:v>145</x:v>
      </x:c>
      <x:c r="F244" s="38">
        <x:f>'2026.9.11'!J202</x:f>
        <x:v>14</x:v>
      </x:c>
      <x:c r="G244" s="39">
        <x:f>H37*C244</x:f>
        <x:v>0</x:v>
      </x:c>
      <x:c r="H244" s="1"/>
      <x:c r="I244" s="1"/>
      <x:c r="J244" s="36">
        <x:f>F244+I244-G244-H244</x:f>
        <x:v>14</x:v>
      </x:c>
      <x:c r="K244" s="37">
        <x:f>J244/C244</x:f>
        <x:v>14</x:v>
      </x:c>
      <x:c r="L244" s="25" t="str">
        <x:f>IF(J244&lt;M244,119,"")</x:f>
        <x:v/>
      </x:c>
      <x:c r="M244" s="34">
        <x:f>P37*C244</x:f>
        <x:v>0</x:v>
      </x:c>
      <x:c r="N244" s="35">
        <x:f>J244-M244</x:f>
        <x:v>14</x:v>
      </x:c>
    </x:row>
    <x:row r="245" spans="1:14" ht="18.75" customHeight="1">
      <x:c r="A245" s="15" t="s">
        <x:v>57</x:v>
      </x:c>
      <x:c r="B245" s="14" t="s">
        <x:v>112</x:v>
      </x:c>
      <x:c r="C245" s="1">
        <x:v>1</x:v>
      </x:c>
      <x:c r="D245" s="9" t="s">
        <x:v>83</x:v>
      </x:c>
      <x:c r="E245" s="1" t="s">
        <x:v>194</x:v>
      </x:c>
      <x:c r="F245" s="38">
        <x:f>'2026.9.11'!J203</x:f>
        <x:v>41</x:v>
      </x:c>
      <x:c r="G245" s="39">
        <x:f>J6*C245</x:f>
        <x:v>0</x:v>
      </x:c>
      <x:c r="J245" s="36">
        <x:f>F245+I245-G245-H245</x:f>
        <x:v>41</x:v>
      </x:c>
      <x:c r="K245" s="37">
        <x:f>J245/C245</x:f>
        <x:v>41</x:v>
      </x:c>
      <x:c r="L245" s="25" t="str">
        <x:f>IF(J245&lt;M245,119,"")</x:f>
        <x:v/>
      </x:c>
      <x:c r="M245" s="34">
        <x:f>R6*C245</x:f>
        <x:v>13</x:v>
      </x:c>
      <x:c r="N245" s="35">
        <x:f>J245-M245</x:f>
        <x:v>28</x:v>
      </x:c>
    </x:row>
    <x:row r="246" spans="1:14" ht="18.75" customHeight="1">
      <x:c r="A246" s="15" t="s">
        <x:v>57</x:v>
      </x:c>
      <x:c r="B246" s="14" t="s">
        <x:v>112</x:v>
      </x:c>
      <x:c r="C246" s="1">
        <x:v>1</x:v>
      </x:c>
      <x:c r="D246" s="9" t="s">
        <x:v>41</x:v>
      </x:c>
      <x:c r="E246" s="1" t="s">
        <x:v>164</x:v>
      </x:c>
      <x:c r="F246" s="38">
        <x:f>'2026.9.11'!J204</x:f>
        <x:v>1</x:v>
      </x:c>
      <x:c r="G246" s="39">
        <x:f>J7*C246</x:f>
        <x:v>0</x:v>
      </x:c>
      <x:c r="J246" s="36">
        <x:f>F246+I246-G246-H246</x:f>
        <x:v>1</x:v>
      </x:c>
      <x:c r="K246" s="37">
        <x:f>J246/C246</x:f>
        <x:v>1</x:v>
      </x:c>
      <x:c r="L246" s="25" t="str">
        <x:f>IF(J246&lt;M246,119,"")</x:f>
        <x:v/>
      </x:c>
      <x:c r="M246" s="34">
        <x:f>R7*C246</x:f>
        <x:v>0</x:v>
      </x:c>
      <x:c r="N246" s="35">
        <x:f>J246-M246</x:f>
        <x:v>1</x:v>
      </x:c>
    </x:row>
    <x:row r="247" spans="1:14" ht="18.75" customHeight="1">
      <x:c r="A247" s="15" t="s">
        <x:v>57</x:v>
      </x:c>
      <x:c r="B247" s="14" t="s">
        <x:v>112</x:v>
      </x:c>
      <x:c r="C247" s="1">
        <x:v>1</x:v>
      </x:c>
      <x:c r="D247" s="9" t="s">
        <x:v>47</x:v>
      </x:c>
      <x:c r="E247" s="1" t="s">
        <x:v>146</x:v>
      </x:c>
      <x:c r="F247" s="38">
        <x:f>'2026.9.11'!J205</x:f>
        <x:v>34</x:v>
      </x:c>
      <x:c r="G247" s="39">
        <x:f>J8*C247</x:f>
        <x:v>0</x:v>
      </x:c>
      <x:c r="J247" s="36">
        <x:f>F247+I247-G247-H247</x:f>
        <x:v>34</x:v>
      </x:c>
      <x:c r="K247" s="37">
        <x:f>J247/C247</x:f>
        <x:v>34</x:v>
      </x:c>
      <x:c r="L247" s="25" t="str">
        <x:f>IF(J247&lt;M247,119,"")</x:f>
        <x:v/>
      </x:c>
      <x:c r="M247" s="34">
        <x:f>R8*C247</x:f>
        <x:v>10</x:v>
      </x:c>
      <x:c r="N247" s="35">
        <x:f>J247-M247</x:f>
        <x:v>24</x:v>
      </x:c>
    </x:row>
    <x:row r="248" spans="1:14" ht="18.75" customHeight="1">
      <x:c r="A248" s="15" t="s">
        <x:v>57</x:v>
      </x:c>
      <x:c r="B248" s="14" t="s">
        <x:v>112</x:v>
      </x:c>
      <x:c r="C248" s="1">
        <x:v>1</x:v>
      </x:c>
      <x:c r="D248" s="9" t="s">
        <x:v>73</x:v>
      </x:c>
      <x:c r="E248" s="1" t="s">
        <x:v>146</x:v>
      </x:c>
      <x:c r="F248" s="38">
        <x:f>'2026.9.11'!J206</x:f>
        <x:v>30</x:v>
      </x:c>
      <x:c r="G248" s="39">
        <x:f>J9*C248</x:f>
        <x:v>0</x:v>
      </x:c>
      <x:c r="J248" s="36">
        <x:f>F248+I248-G248-H248</x:f>
        <x:v>30</x:v>
      </x:c>
      <x:c r="K248" s="37">
        <x:f>J248/C248</x:f>
        <x:v>30</x:v>
      </x:c>
      <x:c r="L248" s="25" t="str">
        <x:f>IF(J248&lt;M248,119,"")</x:f>
        <x:v/>
      </x:c>
      <x:c r="M248" s="34">
        <x:f>R9*C248</x:f>
        <x:v>10</x:v>
      </x:c>
      <x:c r="N248" s="35">
        <x:f>J248-M248</x:f>
        <x:v>20</x:v>
      </x:c>
    </x:row>
    <x:row r="249" spans="1:14" customFormat="1" ht="18.75" customHeight="1">
      <x:c r="A249" s="15" t="s">
        <x:v>149</x:v>
      </x:c>
      <x:c r="B249" s="14" t="s">
        <x:v>229</x:v>
      </x:c>
      <x:c r="C249" s="1">
        <x:v>1</x:v>
      </x:c>
      <x:c r="D249" s="14" t="s">
        <x:v>246</x:v>
      </x:c>
      <x:c r="E249" s="1" t="s">
        <x:v>289</x:v>
      </x:c>
      <x:c r="F249" s="38">
        <x:f>'2026.9.11'!J207</x:f>
        <x:v>1</x:v>
      </x:c>
      <x:c r="G249" s="39">
        <x:f>SUM(H6:H7)*C249</x:f>
        <x:v>0</x:v>
      </x:c>
      <x:c r="H249" s="1"/>
      <x:c r="I249" s="1"/>
      <x:c r="J249" s="36">
        <x:f>F249+I249-G249-H249</x:f>
        <x:v>1</x:v>
      </x:c>
      <x:c r="K249" s="37">
        <x:f>J249/C249</x:f>
        <x:v>1</x:v>
      </x:c>
      <x:c r="L249" s="25" t="str">
        <x:f>IF(J249&lt;M249,119,"")</x:f>
        <x:v/>
      </x:c>
      <x:c r="M249" s="34">
        <x:f>SUM(P6:P7)*C249</x:f>
        <x:v>0</x:v>
      </x:c>
      <x:c r="N249" s="35">
        <x:f>J249-M249</x:f>
        <x:v>1</x:v>
      </x:c>
    </x:row>
    <x:row r="250" spans="1:14" customFormat="1" ht="18.75" customHeight="1">
      <x:c r="A250" s="15" t="s">
        <x:v>149</x:v>
      </x:c>
      <x:c r="B250" s="14" t="s">
        <x:v>229</x:v>
      </x:c>
      <x:c r="C250" s="1">
        <x:v>1</x:v>
      </x:c>
      <x:c r="D250" s="14" t="s">
        <x:v>246</x:v>
      </x:c>
      <x:c r="E250" s="6" t="s">
        <x:v>162</x:v>
      </x:c>
      <x:c r="F250" s="38">
        <x:f>'2026.9.11'!J208</x:f>
        <x:v>3</x:v>
      </x:c>
      <x:c r="G250" s="39">
        <x:f>SUM(H6:H7)*C250</x:f>
        <x:v>0</x:v>
      </x:c>
      <x:c r="H250" s="1"/>
      <x:c r="I250" s="1"/>
      <x:c r="J250" s="36">
        <x:f>F250+I250-G250-H250</x:f>
        <x:v>3</x:v>
      </x:c>
      <x:c r="K250" s="37">
        <x:f>J250/C250</x:f>
        <x:v>3</x:v>
      </x:c>
      <x:c r="L250" s="25" t="str">
        <x:f>IF(J250&lt;M250,119,"")</x:f>
        <x:v/>
      </x:c>
      <x:c r="M250" s="34">
        <x:f>SUM(P6:P7)*C250</x:f>
        <x:v>0</x:v>
      </x:c>
      <x:c r="N250" s="35">
        <x:f>J250-M250</x:f>
        <x:v>3</x:v>
      </x:c>
    </x:row>
    <x:row r="251" spans="1:14" customFormat="1" ht="18.75" customHeight="1">
      <x:c r="A251" s="15" t="s">
        <x:v>149</x:v>
      </x:c>
      <x:c r="B251" s="14" t="s">
        <x:v>229</x:v>
      </x:c>
      <x:c r="C251" s="1">
        <x:v>1</x:v>
      </x:c>
      <x:c r="D251" s="14" t="s">
        <x:v>23</x:v>
      </x:c>
      <x:c r="E251" s="1" t="s">
        <x:v>289</x:v>
      </x:c>
      <x:c r="F251" s="38">
        <x:f>'2026.9.11'!J209</x:f>
        <x:v>0</x:v>
      </x:c>
      <x:c r="G251" s="39">
        <x:f>H4*C251</x:f>
        <x:v>0</x:v>
      </x:c>
      <x:c r="H251" s="1"/>
      <x:c r="I251" s="1"/>
      <x:c r="J251" s="36">
        <x:f>F251+I251-G251-H251</x:f>
        <x:v>0</x:v>
      </x:c>
      <x:c r="K251" s="37">
        <x:f>J251/C251</x:f>
        <x:v>0</x:v>
      </x:c>
      <x:c r="L251" s="25" t="str">
        <x:f>IF(J251&lt;M251,119,"")</x:f>
        <x:v/>
      </x:c>
      <x:c r="M251" s="34">
        <x:f>P4*C251</x:f>
        <x:v>0</x:v>
      </x:c>
      <x:c r="N251" s="35">
        <x:f>J251-M251</x:f>
        <x:v>0</x:v>
      </x:c>
    </x:row>
    <x:row r="252" spans="1:14" customFormat="1" ht="18.75" customHeight="1">
      <x:c r="A252" s="15" t="s">
        <x:v>149</x:v>
      </x:c>
      <x:c r="B252" s="14" t="s">
        <x:v>229</x:v>
      </x:c>
      <x:c r="C252" s="1">
        <x:v>1</x:v>
      </x:c>
      <x:c r="D252" s="14" t="s">
        <x:v>23</x:v>
      </x:c>
      <x:c r="E252" s="6" t="s">
        <x:v>162</x:v>
      </x:c>
      <x:c r="F252" s="38">
        <x:f>'2026.9.11'!J210</x:f>
        <x:v>0</x:v>
      </x:c>
      <x:c r="G252" s="39">
        <x:f>H4*C252</x:f>
        <x:v>0</x:v>
      </x:c>
      <x:c r="H252" s="1"/>
      <x:c r="I252" s="1"/>
      <x:c r="J252" s="36">
        <x:f>F252+I252-G252-H252</x:f>
        <x:v>0</x:v>
      </x:c>
      <x:c r="K252" s="37">
        <x:f>J252/C252</x:f>
        <x:v>0</x:v>
      </x:c>
      <x:c r="L252" s="25" t="str">
        <x:f>IF(J252&lt;M252,119,"")</x:f>
        <x:v/>
      </x:c>
      <x:c r="M252" s="34">
        <x:f>P4*C252</x:f>
        <x:v>0</x:v>
      </x:c>
      <x:c r="N252" s="35">
        <x:f>J252-M252</x:f>
        <x:v>0</x:v>
      </x:c>
    </x:row>
    <x:row r="253" spans="1:14" customFormat="1" ht="18.75" customHeight="1">
      <x:c r="A253" s="15" t="s">
        <x:v>149</x:v>
      </x:c>
      <x:c r="B253" s="14" t="s">
        <x:v>229</x:v>
      </x:c>
      <x:c r="C253" s="1">
        <x:v>1</x:v>
      </x:c>
      <x:c r="D253" s="14" t="s">
        <x:v>51</x:v>
      </x:c>
      <x:c r="E253" s="1" t="s">
        <x:v>289</x:v>
      </x:c>
      <x:c r="F253" s="38">
        <x:f>'2026.9.11'!J211</x:f>
        <x:v>4</x:v>
      </x:c>
      <x:c r="G253" s="39">
        <x:f>H7</x:f>
        <x:v>0</x:v>
      </x:c>
      <x:c r="H253" s="1"/>
      <x:c r="I253" s="1"/>
      <x:c r="J253" s="36">
        <x:f>F253+I253-G253-H253</x:f>
        <x:v>4</x:v>
      </x:c>
      <x:c r="K253" s="37">
        <x:f>J253/C253</x:f>
        <x:v>4</x:v>
      </x:c>
      <x:c r="L253" s="25">
        <x:f>IF(J253&lt;M253,119,"")</x:f>
        <x:v>119</x:v>
      </x:c>
      <x:c r="M253" s="34">
        <x:f>P5*C253</x:f>
        <x:v>6</x:v>
      </x:c>
      <x:c r="N253" s="35">
        <x:f>J253-M253</x:f>
        <x:v>-2</x:v>
      </x:c>
    </x:row>
    <x:row r="254" spans="1:14" customFormat="1" ht="18.75" customHeight="1">
      <x:c r="A254" s="15" t="s">
        <x:v>149</x:v>
      </x:c>
      <x:c r="B254" s="14" t="s">
        <x:v>229</x:v>
      </x:c>
      <x:c r="C254" s="1">
        <x:v>1</x:v>
      </x:c>
      <x:c r="D254" s="14" t="s">
        <x:v>51</x:v>
      </x:c>
      <x:c r="E254" s="6" t="s">
        <x:v>162</x:v>
      </x:c>
      <x:c r="F254" s="38">
        <x:f>'2026.9.11'!J212</x:f>
        <x:v>4</x:v>
      </x:c>
      <x:c r="G254" s="39">
        <x:f>H7</x:f>
        <x:v>0</x:v>
      </x:c>
      <x:c r="H254" s="1"/>
      <x:c r="I254" s="1"/>
      <x:c r="J254" s="36">
        <x:f>F254+I254-G254-H254</x:f>
        <x:v>4</x:v>
      </x:c>
      <x:c r="K254" s="37">
        <x:f>J254/C254</x:f>
        <x:v>4</x:v>
      </x:c>
      <x:c r="L254" s="25">
        <x:f>IF(J254&lt;M254,119,"")</x:f>
        <x:v>119</x:v>
      </x:c>
      <x:c r="M254" s="34">
        <x:f>P5*C254</x:f>
        <x:v>6</x:v>
      </x:c>
      <x:c r="N254" s="35">
        <x:f>J254-M254</x:f>
        <x:v>-2</x:v>
      </x:c>
    </x:row>
    <x:row r="255" spans="1:14" customFormat="1" ht="18.75" customHeight="1">
      <x:c r="A255" s="15" t="s">
        <x:v>149</x:v>
      </x:c>
      <x:c r="B255" s="14" t="s">
        <x:v>229</x:v>
      </x:c>
      <x:c r="C255" s="1">
        <x:v>1</x:v>
      </x:c>
      <x:c r="D255" s="14" t="s">
        <x:v>230</x:v>
      </x:c>
      <x:c r="E255" s="1" t="s">
        <x:v>289</x:v>
      </x:c>
      <x:c r="F255" s="38">
        <x:f>'2026.9.11'!J213</x:f>
        <x:v>140</x:v>
      </x:c>
      <x:c r="G255" s="39">
        <x:f>SUM(H14:H15,H8)</x:f>
        <x:v>0</x:v>
      </x:c>
      <x:c r="H255" s="1"/>
      <x:c r="I255" s="1"/>
      <x:c r="J255" s="36">
        <x:f>F255+I255-G255-H255</x:f>
        <x:v>140</x:v>
      </x:c>
      <x:c r="K255" s="37">
        <x:f>J255/C255</x:f>
        <x:v>140</x:v>
      </x:c>
      <x:c r="L255" s="25" t="str">
        <x:f>IF(J255&lt;M255,119,"")</x:f>
        <x:v/>
      </x:c>
      <x:c r="M255" s="34">
        <x:f>SUM(P8,P14:P15)*C255</x:f>
        <x:v>40</x:v>
      </x:c>
      <x:c r="N255" s="35">
        <x:f>J255-M255</x:f>
        <x:v>100</x:v>
      </x:c>
    </x:row>
    <x:row r="256" spans="1:14" customFormat="1" ht="18.75" customHeight="1">
      <x:c r="A256" s="15" t="s">
        <x:v>149</x:v>
      </x:c>
      <x:c r="B256" s="14" t="s">
        <x:v>229</x:v>
      </x:c>
      <x:c r="C256" s="1">
        <x:v>1</x:v>
      </x:c>
      <x:c r="D256" s="14" t="s">
        <x:v>230</x:v>
      </x:c>
      <x:c r="E256" s="6" t="s">
        <x:v>162</x:v>
      </x:c>
      <x:c r="F256" s="38">
        <x:f>'2026.9.11'!J214</x:f>
        <x:v>140</x:v>
      </x:c>
      <x:c r="G256" s="39">
        <x:f>SUM(H14:H15,H8)</x:f>
        <x:v>0</x:v>
      </x:c>
      <x:c r="H256" s="1"/>
      <x:c r="I256" s="1"/>
      <x:c r="J256" s="36">
        <x:f>F256+I256-G256-H256</x:f>
        <x:v>140</x:v>
      </x:c>
      <x:c r="K256" s="37">
        <x:f>J256/C256</x:f>
        <x:v>140</x:v>
      </x:c>
      <x:c r="L256" s="25" t="str">
        <x:f>IF(J256&lt;M256,119,"")</x:f>
        <x:v/>
      </x:c>
      <x:c r="M256" s="34">
        <x:f>SUM(P8,P14:P15)*C256</x:f>
        <x:v>40</x:v>
      </x:c>
      <x:c r="N256" s="35">
        <x:f>J256-M256</x:f>
        <x:v>100</x:v>
      </x:c>
    </x:row>
    <x:row r="257" spans="1:14" customFormat="1" ht="18.75" customHeight="1">
      <x:c r="A257" s="15" t="s">
        <x:v>149</x:v>
      </x:c>
      <x:c r="B257" s="14" t="s">
        <x:v>229</x:v>
      </x:c>
      <x:c r="C257" s="1">
        <x:v>1</x:v>
      </x:c>
      <x:c r="D257" s="14" t="s">
        <x:v>44</x:v>
      </x:c>
      <x:c r="E257" s="1" t="s">
        <x:v>289</x:v>
      </x:c>
      <x:c r="F257" s="38">
        <x:f>'2026.9.11'!J215</x:f>
        <x:v>58</x:v>
      </x:c>
      <x:c r="G257" s="39">
        <x:f>H9*C257</x:f>
        <x:v>0</x:v>
      </x:c>
      <x:c r="H257" s="1"/>
      <x:c r="I257" s="1"/>
      <x:c r="J257" s="36">
        <x:f>F257+I257-G257-H257</x:f>
        <x:v>58</x:v>
      </x:c>
      <x:c r="K257" s="37">
        <x:f>J257/C257</x:f>
        <x:v>58</x:v>
      </x:c>
      <x:c r="L257" s="25" t="str">
        <x:f>IF(J257&lt;M257,119,"")</x:f>
        <x:v/>
      </x:c>
      <x:c r="M257" s="34">
        <x:f>P9*C257</x:f>
        <x:v>6</x:v>
      </x:c>
      <x:c r="N257" s="35">
        <x:f>J257-M257</x:f>
        <x:v>52</x:v>
      </x:c>
    </x:row>
    <x:row r="258" spans="1:14" customFormat="1" ht="18.75" customHeight="1">
      <x:c r="A258" s="15" t="s">
        <x:v>149</x:v>
      </x:c>
      <x:c r="B258" s="14" t="s">
        <x:v>229</x:v>
      </x:c>
      <x:c r="C258" s="1">
        <x:v>1</x:v>
      </x:c>
      <x:c r="D258" s="14" t="s">
        <x:v>44</x:v>
      </x:c>
      <x:c r="E258" s="6" t="s">
        <x:v>162</x:v>
      </x:c>
      <x:c r="F258" s="38">
        <x:f>'2026.9.11'!J216</x:f>
        <x:v>58</x:v>
      </x:c>
      <x:c r="G258" s="39">
        <x:f>H9*C258</x:f>
        <x:v>0</x:v>
      </x:c>
      <x:c r="H258" s="1"/>
      <x:c r="I258" s="1"/>
      <x:c r="J258" s="36">
        <x:f>F258+I258-G258-H258</x:f>
        <x:v>58</x:v>
      </x:c>
      <x:c r="K258" s="37">
        <x:f>J258/C258</x:f>
        <x:v>58</x:v>
      </x:c>
      <x:c r="L258" s="25" t="str">
        <x:f>IF(J258&lt;M258,119,"")</x:f>
        <x:v/>
      </x:c>
      <x:c r="M258" s="34">
        <x:f>P9*C258</x:f>
        <x:v>6</x:v>
      </x:c>
      <x:c r="N258" s="35">
        <x:f>J258-M258</x:f>
        <x:v>52</x:v>
      </x:c>
    </x:row>
    <x:row r="259" spans="1:14" customFormat="1" ht="18.75" customHeight="1">
      <x:c r="A259" s="15" t="s">
        <x:v>149</x:v>
      </x:c>
      <x:c r="B259" s="14" t="s">
        <x:v>229</x:v>
      </x:c>
      <x:c r="C259" s="1">
        <x:v>1</x:v>
      </x:c>
      <x:c r="D259" s="14" t="s">
        <x:v>76</x:v>
      </x:c>
      <x:c r="E259" s="1" t="s">
        <x:v>289</x:v>
      </x:c>
      <x:c r="F259" s="38">
        <x:f>'2026.9.11'!J217</x:f>
        <x:v>0</x:v>
      </x:c>
      <x:c r="G259" s="39">
        <x:f>H11*C259</x:f>
        <x:v>0</x:v>
      </x:c>
      <x:c r="H259" s="1"/>
      <x:c r="I259" s="1"/>
      <x:c r="J259" s="36">
        <x:f>F259+I259-G259-H259</x:f>
        <x:v>0</x:v>
      </x:c>
      <x:c r="K259" s="37">
        <x:f>J259/C259</x:f>
        <x:v>0</x:v>
      </x:c>
      <x:c r="L259" s="25" t="str">
        <x:f>IF(J259&lt;M259,119,"")</x:f>
        <x:v/>
      </x:c>
      <x:c r="M259" s="34">
        <x:f>P11*C259</x:f>
        <x:v>0</x:v>
      </x:c>
      <x:c r="N259" s="35">
        <x:f>J259-M259</x:f>
        <x:v>0</x:v>
      </x:c>
    </x:row>
    <x:row r="260" spans="1:14" customFormat="1" ht="18.75" customHeight="1">
      <x:c r="A260" s="15" t="s">
        <x:v>149</x:v>
      </x:c>
      <x:c r="B260" s="14" t="s">
        <x:v>229</x:v>
      </x:c>
      <x:c r="C260" s="1">
        <x:v>1</x:v>
      </x:c>
      <x:c r="D260" s="14" t="s">
        <x:v>76</x:v>
      </x:c>
      <x:c r="E260" s="6" t="s">
        <x:v>162</x:v>
      </x:c>
      <x:c r="F260" s="38">
        <x:f>'2026.9.11'!J218</x:f>
        <x:v>0</x:v>
      </x:c>
      <x:c r="G260" s="39">
        <x:f>H11*C260</x:f>
        <x:v>0</x:v>
      </x:c>
      <x:c r="H260" s="1"/>
      <x:c r="I260" s="1"/>
      <x:c r="J260" s="36">
        <x:f>F260+I260-G260-H260</x:f>
        <x:v>0</x:v>
      </x:c>
      <x:c r="K260" s="37">
        <x:f>J260/C260</x:f>
        <x:v>0</x:v>
      </x:c>
      <x:c r="L260" s="25" t="str">
        <x:f>IF(J260&lt;M260,119,"")</x:f>
        <x:v/>
      </x:c>
      <x:c r="M260" s="34">
        <x:f>P11*C260</x:f>
        <x:v>0</x:v>
      </x:c>
      <x:c r="N260" s="35">
        <x:f>J260-M260</x:f>
        <x:v>0</x:v>
      </x:c>
    </x:row>
    <x:row r="261" spans="1:14" customFormat="1" ht="18.75" customHeight="1">
      <x:c r="A261" s="15" t="s">
        <x:v>149</x:v>
      </x:c>
      <x:c r="B261" s="14" t="s">
        <x:v>229</x:v>
      </x:c>
      <x:c r="C261" s="1">
        <x:v>1</x:v>
      </x:c>
      <x:c r="D261" s="14" t="s">
        <x:v>6</x:v>
      </x:c>
      <x:c r="E261" s="1" t="s">
        <x:v>289</x:v>
      </x:c>
      <x:c r="F261" s="38">
        <x:f>'2026.9.11'!J219</x:f>
        <x:v>14</x:v>
      </x:c>
      <x:c r="G261" s="39">
        <x:f>SUM(H12,H16:H17)*C261</x:f>
        <x:v>0</x:v>
      </x:c>
      <x:c r="H261" s="1"/>
      <x:c r="I261" s="1"/>
      <x:c r="J261" s="36">
        <x:f>F261+I261-G261-H261</x:f>
        <x:v>14</x:v>
      </x:c>
      <x:c r="K261" s="37">
        <x:f>J261/C261</x:f>
        <x:v>14</x:v>
      </x:c>
      <x:c r="L261" s="25" t="str">
        <x:f>IF(J261&lt;M261,119,"")</x:f>
        <x:v/>
      </x:c>
      <x:c r="M261" s="34">
        <x:f>SUM(P12,P16:P17)*C261</x:f>
        <x:v>0</x:v>
      </x:c>
      <x:c r="N261" s="35">
        <x:f>J261-M261</x:f>
        <x:v>14</x:v>
      </x:c>
    </x:row>
    <x:row r="262" spans="1:14" customFormat="1" ht="18.75" customHeight="1">
      <x:c r="A262" s="15" t="s">
        <x:v>149</x:v>
      </x:c>
      <x:c r="B262" s="14" t="s">
        <x:v>229</x:v>
      </x:c>
      <x:c r="C262" s="1">
        <x:v>1</x:v>
      </x:c>
      <x:c r="D262" s="14" t="s">
        <x:v>6</x:v>
      </x:c>
      <x:c r="E262" s="6" t="s">
        <x:v>162</x:v>
      </x:c>
      <x:c r="F262" s="38">
        <x:f>'2026.9.11'!J220</x:f>
        <x:v>14</x:v>
      </x:c>
      <x:c r="G262" s="39">
        <x:f>SUM(H12,H16:H17)*C262</x:f>
        <x:v>0</x:v>
      </x:c>
      <x:c r="H262" s="1"/>
      <x:c r="I262" s="1"/>
      <x:c r="J262" s="36">
        <x:f>F262+I262-G262-H262</x:f>
        <x:v>14</x:v>
      </x:c>
      <x:c r="K262" s="37">
        <x:f>J262/C262</x:f>
        <x:v>14</x:v>
      </x:c>
      <x:c r="L262" s="25" t="str">
        <x:f>IF(J262&lt;M262,119,"")</x:f>
        <x:v/>
      </x:c>
      <x:c r="M262" s="34">
        <x:f>SUM(P12,P16:P17)*C262</x:f>
        <x:v>0</x:v>
      </x:c>
      <x:c r="N262" s="35">
        <x:f>J262-M262</x:f>
        <x:v>14</x:v>
      </x:c>
    </x:row>
    <x:row r="263" spans="1:14" customFormat="1" ht="18.75" customHeight="1">
      <x:c r="A263" s="15" t="s">
        <x:v>149</x:v>
      </x:c>
      <x:c r="B263" s="14" t="s">
        <x:v>229</x:v>
      </x:c>
      <x:c r="C263" s="1">
        <x:v>1</x:v>
      </x:c>
      <x:c r="D263" s="14" t="s">
        <x:v>249</x:v>
      </x:c>
      <x:c r="E263" s="1" t="s">
        <x:v>289</x:v>
      </x:c>
      <x:c r="F263" s="38">
        <x:f>'2026.9.11'!J221</x:f>
        <x:v>106</x:v>
      </x:c>
      <x:c r="G263" s="39">
        <x:f>SUM(H19:H31)*C263</x:f>
        <x:v>0</x:v>
      </x:c>
      <x:c r="H263" s="1"/>
      <x:c r="I263" s="1"/>
      <x:c r="J263" s="36">
        <x:f>F263+I263-G263-H263</x:f>
        <x:v>106</x:v>
      </x:c>
      <x:c r="K263" s="37">
        <x:f>J263/C263</x:f>
        <x:v>106</x:v>
      </x:c>
      <x:c r="L263" s="25" t="str">
        <x:f>IF(J263&lt;M263,119,"")</x:f>
        <x:v/>
      </x:c>
      <x:c r="M263" s="34">
        <x:f>SUM(P19:P31)*C263</x:f>
        <x:v>19</x:v>
      </x:c>
      <x:c r="N263" s="35">
        <x:f>J263-M263</x:f>
        <x:v>87</x:v>
      </x:c>
    </x:row>
    <x:row r="264" spans="1:14" customFormat="1" ht="18.75" customHeight="1">
      <x:c r="A264" s="15" t="s">
        <x:v>149</x:v>
      </x:c>
      <x:c r="B264" s="14" t="s">
        <x:v>229</x:v>
      </x:c>
      <x:c r="C264" s="1">
        <x:v>1</x:v>
      </x:c>
      <x:c r="D264" s="14" t="s">
        <x:v>249</x:v>
      </x:c>
      <x:c r="E264" s="6" t="s">
        <x:v>162</x:v>
      </x:c>
      <x:c r="F264" s="38">
        <x:f>'2026.9.11'!J222</x:f>
        <x:v>106</x:v>
      </x:c>
      <x:c r="G264" s="39">
        <x:f>SUM(H19:H31)*C264</x:f>
        <x:v>0</x:v>
      </x:c>
      <x:c r="H264" s="1"/>
      <x:c r="I264" s="1"/>
      <x:c r="J264" s="36">
        <x:f>F264+I264-G264-H264</x:f>
        <x:v>106</x:v>
      </x:c>
      <x:c r="K264" s="37">
        <x:f>J264/C264</x:f>
        <x:v>106</x:v>
      </x:c>
      <x:c r="L264" s="25" t="str">
        <x:f>IF(J264&lt;M264,119,"")</x:f>
        <x:v/>
      </x:c>
      <x:c r="M264" s="34">
        <x:f>SUM(P19:P31)*C264</x:f>
        <x:v>19</x:v>
      </x:c>
      <x:c r="N264" s="35">
        <x:f>J264-M264</x:f>
        <x:v>87</x:v>
      </x:c>
    </x:row>
    <x:row r="265" spans="1:14" customFormat="1" ht="18.75" customHeight="1">
      <x:c r="A265" s="15" t="s">
        <x:v>149</x:v>
      </x:c>
      <x:c r="B265" s="14" t="s">
        <x:v>229</x:v>
      </x:c>
      <x:c r="C265" s="1">
        <x:v>1</x:v>
      </x:c>
      <x:c r="D265" s="14" t="s">
        <x:v>70</x:v>
      </x:c>
      <x:c r="E265" s="1" t="s">
        <x:v>289</x:v>
      </x:c>
      <x:c r="F265" s="38">
        <x:f>'2026.9.11'!J223</x:f>
        <x:v>114</x:v>
      </x:c>
      <x:c r="G265" s="39">
        <x:f>SUM(H32:H35)</x:f>
        <x:v>0</x:v>
      </x:c>
      <x:c r="H265" s="1"/>
      <x:c r="I265" s="1"/>
      <x:c r="J265" s="36">
        <x:f>F265+I265-G265-H265</x:f>
        <x:v>114</x:v>
      </x:c>
      <x:c r="K265" s="37">
        <x:f>J265/C265</x:f>
        <x:v>114</x:v>
      </x:c>
      <x:c r="L265" s="25" t="str">
        <x:f>IF(J265&lt;M265,119,"")</x:f>
        <x:v/>
      </x:c>
      <x:c r="M265" s="34">
        <x:f>SUM(P32:P35)*C265</x:f>
        <x:v>17</x:v>
      </x:c>
      <x:c r="N265" s="35">
        <x:f>J265-M265</x:f>
        <x:v>97</x:v>
      </x:c>
    </x:row>
    <x:row r="266" spans="1:14" customFormat="1" ht="18.75" customHeight="1">
      <x:c r="A266" s="15" t="s">
        <x:v>149</x:v>
      </x:c>
      <x:c r="B266" s="14" t="s">
        <x:v>229</x:v>
      </x:c>
      <x:c r="C266" s="1">
        <x:v>1</x:v>
      </x:c>
      <x:c r="D266" s="14" t="s">
        <x:v>70</x:v>
      </x:c>
      <x:c r="E266" s="6" t="s">
        <x:v>162</x:v>
      </x:c>
      <x:c r="F266" s="38">
        <x:f>'2026.9.11'!J224</x:f>
        <x:v>114</x:v>
      </x:c>
      <x:c r="G266" s="39">
        <x:f>SUM(H32:H35)</x:f>
        <x:v>0</x:v>
      </x:c>
      <x:c r="H266" s="1"/>
      <x:c r="I266" s="1"/>
      <x:c r="J266" s="36">
        <x:f>F266+I266-G266-H266</x:f>
        <x:v>114</x:v>
      </x:c>
      <x:c r="K266" s="37">
        <x:f>J266/C266</x:f>
        <x:v>114</x:v>
      </x:c>
      <x:c r="L266" s="25" t="str">
        <x:f>IF(J266&lt;M266,119,"")</x:f>
        <x:v/>
      </x:c>
      <x:c r="M266" s="34">
        <x:f>SUM(P32:P35)*C266</x:f>
        <x:v>17</x:v>
      </x:c>
      <x:c r="N266" s="35">
        <x:f>J266-M266</x:f>
        <x:v>97</x:v>
      </x:c>
    </x:row>
    <x:row r="267" spans="1:14" customFormat="1" ht="18.75" customHeight="1">
      <x:c r="A267" s="15" t="s">
        <x:v>149</x:v>
      </x:c>
      <x:c r="B267" s="14" t="s">
        <x:v>229</x:v>
      </x:c>
      <x:c r="C267" s="1">
        <x:v>1</x:v>
      </x:c>
      <x:c r="D267" s="14" t="s">
        <x:v>244</x:v>
      </x:c>
      <x:c r="E267" s="1" t="s">
        <x:v>289</x:v>
      </x:c>
      <x:c r="F267" s="38">
        <x:f>'2026.9.11'!J225</x:f>
        <x:v>0</x:v>
      </x:c>
      <x:c r="G267" s="39">
        <x:f>H36*C267</x:f>
        <x:v>0</x:v>
      </x:c>
      <x:c r="H267" s="1"/>
      <x:c r="I267" s="1"/>
      <x:c r="J267" s="36">
        <x:f>F267+I267-G267-H267</x:f>
        <x:v>0</x:v>
      </x:c>
      <x:c r="K267" s="37">
        <x:f>J267/C267</x:f>
        <x:v>0</x:v>
      </x:c>
      <x:c r="L267" s="25" t="str">
        <x:f>IF(J267&lt;M267,119,"")</x:f>
        <x:v/>
      </x:c>
      <x:c r="M267" s="34">
        <x:f>P36*C267</x:f>
        <x:v>0</x:v>
      </x:c>
      <x:c r="N267" s="35">
        <x:f>J267-M267</x:f>
        <x:v>0</x:v>
      </x:c>
    </x:row>
    <x:row r="268" spans="1:14" customFormat="1" ht="18.75" customHeight="1">
      <x:c r="A268" s="15" t="s">
        <x:v>149</x:v>
      </x:c>
      <x:c r="B268" s="14" t="s">
        <x:v>229</x:v>
      </x:c>
      <x:c r="C268" s="1">
        <x:v>1</x:v>
      </x:c>
      <x:c r="D268" s="14" t="s">
        <x:v>244</x:v>
      </x:c>
      <x:c r="E268" s="6" t="s">
        <x:v>162</x:v>
      </x:c>
      <x:c r="F268" s="38">
        <x:f>'2026.9.11'!J226</x:f>
        <x:v>0</x:v>
      </x:c>
      <x:c r="G268" s="39">
        <x:f>H36*C268</x:f>
        <x:v>0</x:v>
      </x:c>
      <x:c r="H268" s="1"/>
      <x:c r="I268" s="1"/>
      <x:c r="J268" s="36">
        <x:f>F268+I268-G268-H268</x:f>
        <x:v>0</x:v>
      </x:c>
      <x:c r="K268" s="37">
        <x:f>J268/C268</x:f>
        <x:v>0</x:v>
      </x:c>
      <x:c r="L268" s="25" t="str">
        <x:f>IF(J268&lt;M268,119,"")</x:f>
        <x:v/>
      </x:c>
      <x:c r="M268" s="34">
        <x:f>P36*C268</x:f>
        <x:v>0</x:v>
      </x:c>
      <x:c r="N268" s="35">
        <x:f>J268-M268</x:f>
        <x:v>0</x:v>
      </x:c>
    </x:row>
    <x:row r="269" spans="1:14" customFormat="1" ht="18.75" customHeight="1">
      <x:c r="A269" s="15" t="s">
        <x:v>149</x:v>
      </x:c>
      <x:c r="B269" s="14" t="s">
        <x:v>229</x:v>
      </x:c>
      <x:c r="C269" s="1">
        <x:v>1</x:v>
      </x:c>
      <x:c r="D269" s="14" t="s">
        <x:v>247</x:v>
      </x:c>
      <x:c r="E269" s="1" t="s">
        <x:v>289</x:v>
      </x:c>
      <x:c r="F269" s="38">
        <x:f>'2026.9.11'!J227</x:f>
        <x:v>0</x:v>
      </x:c>
      <x:c r="G269" s="39">
        <x:f>H37*C269</x:f>
        <x:v>0</x:v>
      </x:c>
      <x:c r="H269" s="1"/>
      <x:c r="I269" s="1"/>
      <x:c r="J269" s="36">
        <x:f>F269+I269-G269-H269</x:f>
        <x:v>0</x:v>
      </x:c>
      <x:c r="K269" s="37">
        <x:f>J269/C269</x:f>
        <x:v>0</x:v>
      </x:c>
      <x:c r="L269" s="25" t="str">
        <x:f>IF(J269&lt;M269,119,"")</x:f>
        <x:v/>
      </x:c>
      <x:c r="M269" s="34">
        <x:f>P37*C269</x:f>
        <x:v>0</x:v>
      </x:c>
      <x:c r="N269" s="35">
        <x:f>J269-M269</x:f>
        <x:v>0</x:v>
      </x:c>
    </x:row>
    <x:row r="270" spans="1:14" customFormat="1" ht="18.75" customHeight="1">
      <x:c r="A270" s="15" t="s">
        <x:v>149</x:v>
      </x:c>
      <x:c r="B270" s="14" t="s">
        <x:v>229</x:v>
      </x:c>
      <x:c r="C270" s="1">
        <x:v>1</x:v>
      </x:c>
      <x:c r="D270" s="14" t="s">
        <x:v>247</x:v>
      </x:c>
      <x:c r="E270" s="6" t="s">
        <x:v>162</x:v>
      </x:c>
      <x:c r="F270" s="38">
        <x:f>'2026.9.11'!J228</x:f>
        <x:v>0</x:v>
      </x:c>
      <x:c r="G270" s="39">
        <x:f>H37*C270</x:f>
        <x:v>0</x:v>
      </x:c>
      <x:c r="H270" s="1"/>
      <x:c r="I270" s="1"/>
      <x:c r="J270" s="36">
        <x:f>F270+I270-G270-H270</x:f>
        <x:v>0</x:v>
      </x:c>
      <x:c r="K270" s="37">
        <x:f>J270/C270</x:f>
        <x:v>0</x:v>
      </x:c>
      <x:c r="L270" s="25" t="str">
        <x:f>IF(J270&lt;M270,119,"")</x:f>
        <x:v/>
      </x:c>
      <x:c r="M270" s="34">
        <x:f>P37*C270</x:f>
        <x:v>0</x:v>
      </x:c>
      <x:c r="N270" s="35">
        <x:f>J270-M270</x:f>
        <x:v>0</x:v>
      </x:c>
    </x:row>
    <x:row r="271" spans="1:14" customFormat="1" ht="18.75" customHeight="1">
      <x:c r="A271" s="15" t="s">
        <x:v>149</x:v>
      </x:c>
      <x:c r="B271" s="14" t="s">
        <x:v>229</x:v>
      </x:c>
      <x:c r="C271" s="1">
        <x:v>1</x:v>
      </x:c>
      <x:c r="D271" s="14" t="s">
        <x:v>22</x:v>
      </x:c>
      <x:c r="E271" s="1" t="s">
        <x:v>289</x:v>
      </x:c>
      <x:c r="F271" s="38">
        <x:f>'2026.9.11'!J229</x:f>
        <x:v>0</x:v>
      </x:c>
      <x:c r="G271" s="39">
        <x:f>H38*C271</x:f>
        <x:v>0</x:v>
      </x:c>
      <x:c r="H271" s="1"/>
      <x:c r="I271" s="1"/>
      <x:c r="J271" s="36">
        <x:f>F271+I271-G271-H271</x:f>
        <x:v>0</x:v>
      </x:c>
      <x:c r="K271" s="37">
        <x:f>J271/C271</x:f>
        <x:v>0</x:v>
      </x:c>
      <x:c r="L271" s="25" t="str">
        <x:f>IF(J271&lt;M271,119,"")</x:f>
        <x:v/>
      </x:c>
      <x:c r="M271" s="34">
        <x:f>P38*C271</x:f>
        <x:v>0</x:v>
      </x:c>
      <x:c r="N271" s="35">
        <x:f>J271-M271</x:f>
        <x:v>0</x:v>
      </x:c>
    </x:row>
    <x:row r="272" spans="1:14" customFormat="1" ht="18.75" customHeight="1">
      <x:c r="A272" s="15" t="s">
        <x:v>149</x:v>
      </x:c>
      <x:c r="B272" s="14" t="s">
        <x:v>229</x:v>
      </x:c>
      <x:c r="C272" s="1">
        <x:v>1</x:v>
      </x:c>
      <x:c r="D272" s="14" t="s">
        <x:v>22</x:v>
      </x:c>
      <x:c r="E272" s="6" t="s">
        <x:v>162</x:v>
      </x:c>
      <x:c r="F272" s="38">
        <x:f>'2026.9.11'!J230</x:f>
        <x:v>0</x:v>
      </x:c>
      <x:c r="G272" s="39">
        <x:f>H38*C272</x:f>
        <x:v>0</x:v>
      </x:c>
      <x:c r="H272" s="1"/>
      <x:c r="I272" s="1"/>
      <x:c r="J272" s="36">
        <x:f>F272+I272-G272-H272</x:f>
        <x:v>0</x:v>
      </x:c>
      <x:c r="K272" s="37">
        <x:f>J272/C272</x:f>
        <x:v>0</x:v>
      </x:c>
      <x:c r="L272" s="25" t="str">
        <x:f>IF(J272&lt;M272,119,"")</x:f>
        <x:v/>
      </x:c>
      <x:c r="M272" s="34">
        <x:f>P38*C272</x:f>
        <x:v>0</x:v>
      </x:c>
      <x:c r="N272" s="35">
        <x:f>J272-M272</x:f>
        <x:v>0</x:v>
      </x:c>
    </x:row>
    <x:row r="273" spans="1:14" customFormat="1" ht="18.75" customHeight="1">
      <x:c r="A273" s="15" t="s">
        <x:v>149</x:v>
      </x:c>
      <x:c r="B273" s="14" t="s">
        <x:v>229</x:v>
      </x:c>
      <x:c r="C273" s="1">
        <x:v>1</x:v>
      </x:c>
      <x:c r="D273" s="14" t="s">
        <x:v>96</x:v>
      </x:c>
      <x:c r="E273" s="1" t="s">
        <x:v>289</x:v>
      </x:c>
      <x:c r="F273" s="38">
        <x:f>'2026.9.11'!J231</x:f>
        <x:v>2</x:v>
      </x:c>
      <x:c r="G273" s="39">
        <x:f>H39*C273</x:f>
        <x:v>0</x:v>
      </x:c>
      <x:c r="H273" s="1"/>
      <x:c r="I273" s="1"/>
      <x:c r="J273" s="36">
        <x:f>F273+I273-G273-H273</x:f>
        <x:v>2</x:v>
      </x:c>
      <x:c r="K273" s="37">
        <x:f>J273/C273</x:f>
        <x:v>2</x:v>
      </x:c>
      <x:c r="L273" s="25" t="str">
        <x:f>IF(J273&lt;M273,119,"")</x:f>
        <x:v/>
      </x:c>
      <x:c r="M273" s="34">
        <x:f>P39*C273</x:f>
        <x:v>0</x:v>
      </x:c>
      <x:c r="N273" s="35">
        <x:f>J273-M273</x:f>
        <x:v>2</x:v>
      </x:c>
    </x:row>
    <x:row r="274" spans="1:14" customFormat="1" ht="18.75" customHeight="1">
      <x:c r="A274" s="15" t="s">
        <x:v>149</x:v>
      </x:c>
      <x:c r="B274" s="14" t="s">
        <x:v>229</x:v>
      </x:c>
      <x:c r="C274" s="1">
        <x:v>1</x:v>
      </x:c>
      <x:c r="D274" s="14" t="s">
        <x:v>96</x:v>
      </x:c>
      <x:c r="E274" s="6" t="s">
        <x:v>162</x:v>
      </x:c>
      <x:c r="F274" s="38">
        <x:f>'2026.9.11'!J232</x:f>
        <x:v>2</x:v>
      </x:c>
      <x:c r="G274" s="39">
        <x:f>H39*C274</x:f>
        <x:v>0</x:v>
      </x:c>
      <x:c r="H274" s="1"/>
      <x:c r="I274" s="1"/>
      <x:c r="J274" s="36">
        <x:f>F274+I274-G274-H274</x:f>
        <x:v>2</x:v>
      </x:c>
      <x:c r="K274" s="37">
        <x:f>J274/C274</x:f>
        <x:v>2</x:v>
      </x:c>
      <x:c r="L274" s="25" t="str">
        <x:f>IF(J274&lt;M274,119,"")</x:f>
        <x:v/>
      </x:c>
      <x:c r="M274" s="34">
        <x:f>P39*C274</x:f>
        <x:v>0</x:v>
      </x:c>
      <x:c r="N274" s="35">
        <x:f>J274-M274</x:f>
        <x:v>2</x:v>
      </x:c>
    </x:row>
    <x:row r="275" spans="1:14" customFormat="1" ht="18.75" customHeight="1">
      <x:c r="A275" s="15" t="s">
        <x:v>149</x:v>
      </x:c>
      <x:c r="B275" s="14" t="s">
        <x:v>229</x:v>
      </x:c>
      <x:c r="C275" s="1">
        <x:v>1</x:v>
      </x:c>
      <x:c r="D275" s="14" t="s">
        <x:v>83</x:v>
      </x:c>
      <x:c r="E275" s="1" t="s">
        <x:v>289</x:v>
      </x:c>
      <x:c r="F275" s="38">
        <x:f>'2026.9.11'!J233</x:f>
        <x:v>0</x:v>
      </x:c>
      <x:c r="G275" s="39">
        <x:f>J6</x:f>
        <x:v>0</x:v>
      </x:c>
      <x:c r="H275" s="1"/>
      <x:c r="I275" s="1"/>
      <x:c r="J275" s="36">
        <x:f>F275+I275-G275-H275</x:f>
        <x:v>0</x:v>
      </x:c>
      <x:c r="K275" s="37">
        <x:f>J275/C275</x:f>
        <x:v>0</x:v>
      </x:c>
      <x:c r="L275" s="25">
        <x:f>IF(J275&lt;M275,119,"")</x:f>
        <x:v>119</x:v>
      </x:c>
      <x:c r="M275" s="34">
        <x:f>R6*C275</x:f>
        <x:v>13</x:v>
      </x:c>
      <x:c r="N275" s="35">
        <x:f>J275-M275</x:f>
        <x:v>-13</x:v>
      </x:c>
    </x:row>
    <x:row r="276" spans="1:14" customFormat="1" ht="18.75" customHeight="1">
      <x:c r="A276" s="15" t="s">
        <x:v>149</x:v>
      </x:c>
      <x:c r="B276" s="14" t="s">
        <x:v>229</x:v>
      </x:c>
      <x:c r="C276" s="1">
        <x:v>1</x:v>
      </x:c>
      <x:c r="D276" s="14" t="s">
        <x:v>83</x:v>
      </x:c>
      <x:c r="E276" s="6" t="s">
        <x:v>162</x:v>
      </x:c>
      <x:c r="F276" s="38">
        <x:f>'2026.9.11'!J234</x:f>
        <x:v>0</x:v>
      </x:c>
      <x:c r="G276" s="39">
        <x:f>J6</x:f>
        <x:v>0</x:v>
      </x:c>
      <x:c r="H276" s="1"/>
      <x:c r="I276" s="1"/>
      <x:c r="J276" s="36">
        <x:f>F276+I276-G276-H276</x:f>
        <x:v>0</x:v>
      </x:c>
      <x:c r="K276" s="37">
        <x:f>J276/C276</x:f>
        <x:v>0</x:v>
      </x:c>
      <x:c r="L276" s="25">
        <x:f>IF(J276&lt;M276,119,"")</x:f>
        <x:v>119</x:v>
      </x:c>
      <x:c r="M276" s="34">
        <x:f>R6*C276</x:f>
        <x:v>13</x:v>
      </x:c>
      <x:c r="N276" s="35">
        <x:f>J276-M276</x:f>
        <x:v>-13</x:v>
      </x:c>
    </x:row>
    <x:row r="277" spans="1:14" customFormat="1" ht="18.75" customHeight="1">
      <x:c r="A277" s="15" t="s">
        <x:v>149</x:v>
      </x:c>
      <x:c r="B277" s="14" t="s">
        <x:v>229</x:v>
      </x:c>
      <x:c r="C277" s="1">
        <x:v>1</x:v>
      </x:c>
      <x:c r="D277" s="14" t="s">
        <x:v>41</x:v>
      </x:c>
      <x:c r="E277" s="1" t="s">
        <x:v>289</x:v>
      </x:c>
      <x:c r="F277" s="38">
        <x:f>'2026.9.11'!J235</x:f>
        <x:v>0</x:v>
      </x:c>
      <x:c r="G277" s="39">
        <x:f>J7</x:f>
        <x:v>0</x:v>
      </x:c>
      <x:c r="H277" s="1"/>
      <x:c r="I277" s="1"/>
      <x:c r="J277" s="36">
        <x:f>F277+I277-G277-H277</x:f>
        <x:v>0</x:v>
      </x:c>
      <x:c r="K277" s="37">
        <x:f>J277/C277</x:f>
        <x:v>0</x:v>
      </x:c>
      <x:c r="L277" s="25" t="str">
        <x:f>IF(J277&lt;M277,119,"")</x:f>
        <x:v/>
      </x:c>
      <x:c r="M277" s="34">
        <x:f>R7*C277</x:f>
        <x:v>0</x:v>
      </x:c>
      <x:c r="N277" s="35">
        <x:f>J277-M277</x:f>
        <x:v>0</x:v>
      </x:c>
    </x:row>
    <x:row r="278" spans="1:14" customFormat="1" ht="18.75" customHeight="1">
      <x:c r="A278" s="15" t="s">
        <x:v>149</x:v>
      </x:c>
      <x:c r="B278" s="14" t="s">
        <x:v>229</x:v>
      </x:c>
      <x:c r="C278" s="1">
        <x:v>1</x:v>
      </x:c>
      <x:c r="D278" s="14" t="s">
        <x:v>41</x:v>
      </x:c>
      <x:c r="E278" s="6" t="s">
        <x:v>162</x:v>
      </x:c>
      <x:c r="F278" s="38">
        <x:f>'2026.9.11'!J236</x:f>
        <x:v>0</x:v>
      </x:c>
      <x:c r="G278" s="39">
        <x:f>J7</x:f>
        <x:v>0</x:v>
      </x:c>
      <x:c r="H278" s="1"/>
      <x:c r="I278" s="1"/>
      <x:c r="J278" s="36">
        <x:f>F278+I278-G278-H278</x:f>
        <x:v>0</x:v>
      </x:c>
      <x:c r="K278" s="37">
        <x:f>J278/C278</x:f>
        <x:v>0</x:v>
      </x:c>
      <x:c r="L278" s="25" t="str">
        <x:f>IF(J278&lt;M278,119,"")</x:f>
        <x:v/>
      </x:c>
      <x:c r="M278" s="34">
        <x:f>R7*C278</x:f>
        <x:v>0</x:v>
      </x:c>
      <x:c r="N278" s="35">
        <x:f>J278-M278</x:f>
        <x:v>0</x:v>
      </x:c>
    </x:row>
    <x:row r="279" spans="1:14" customFormat="1" ht="18.75" customHeight="1">
      <x:c r="A279" s="15" t="s">
        <x:v>149</x:v>
      </x:c>
      <x:c r="B279" s="14" t="s">
        <x:v>229</x:v>
      </x:c>
      <x:c r="C279" s="1">
        <x:v>1</x:v>
      </x:c>
      <x:c r="D279" s="14" t="s">
        <x:v>47</x:v>
      </x:c>
      <x:c r="E279" s="1" t="s">
        <x:v>289</x:v>
      </x:c>
      <x:c r="F279" s="38">
        <x:f>'2026.9.11'!J237</x:f>
        <x:v>7</x:v>
      </x:c>
      <x:c r="G279" s="39">
        <x:f>J8</x:f>
        <x:v>0</x:v>
      </x:c>
      <x:c r="H279" s="1"/>
      <x:c r="I279" s="1"/>
      <x:c r="J279" s="36">
        <x:f>F279+I279-G279-H279</x:f>
        <x:v>7</x:v>
      </x:c>
      <x:c r="K279" s="37">
        <x:f>J279/C279</x:f>
        <x:v>7</x:v>
      </x:c>
      <x:c r="L279" s="25">
        <x:f>IF(J279&lt;M279,119,"")</x:f>
        <x:v>119</x:v>
      </x:c>
      <x:c r="M279" s="34">
        <x:f>R8*C279</x:f>
        <x:v>10</x:v>
      </x:c>
      <x:c r="N279" s="35">
        <x:f>J279-M279</x:f>
        <x:v>-3</x:v>
      </x:c>
    </x:row>
    <x:row r="280" spans="1:14" customFormat="1" ht="18.75" customHeight="1">
      <x:c r="A280" s="15" t="s">
        <x:v>149</x:v>
      </x:c>
      <x:c r="B280" s="14" t="s">
        <x:v>229</x:v>
      </x:c>
      <x:c r="C280" s="1">
        <x:v>1</x:v>
      </x:c>
      <x:c r="D280" s="14" t="s">
        <x:v>47</x:v>
      </x:c>
      <x:c r="E280" s="6" t="s">
        <x:v>162</x:v>
      </x:c>
      <x:c r="F280" s="38">
        <x:f>'2026.9.11'!J238</x:f>
        <x:v>7</x:v>
      </x:c>
      <x:c r="G280" s="39">
        <x:f>J8</x:f>
        <x:v>0</x:v>
      </x:c>
      <x:c r="H280" s="1"/>
      <x:c r="I280" s="1"/>
      <x:c r="J280" s="36">
        <x:f>F280+I280-G280-H280</x:f>
        <x:v>7</x:v>
      </x:c>
      <x:c r="K280" s="37">
        <x:f>J280/C280</x:f>
        <x:v>7</x:v>
      </x:c>
      <x:c r="L280" s="25">
        <x:f>IF(J280&lt;M280,119,"")</x:f>
        <x:v>119</x:v>
      </x:c>
      <x:c r="M280" s="34">
        <x:f>R8*C280</x:f>
        <x:v>10</x:v>
      </x:c>
      <x:c r="N280" s="35">
        <x:f>J280-M280</x:f>
        <x:v>-3</x:v>
      </x:c>
    </x:row>
    <x:row r="281" spans="1:14" customFormat="1" ht="18.75" customHeight="1">
      <x:c r="A281" s="15" t="s">
        <x:v>149</x:v>
      </x:c>
      <x:c r="B281" s="14" t="s">
        <x:v>229</x:v>
      </x:c>
      <x:c r="C281" s="1">
        <x:v>1</x:v>
      </x:c>
      <x:c r="D281" s="14" t="s">
        <x:v>73</x:v>
      </x:c>
      <x:c r="E281" s="1" t="s">
        <x:v>289</x:v>
      </x:c>
      <x:c r="F281" s="38">
        <x:f>'2026.9.11'!J239</x:f>
        <x:v>0</x:v>
      </x:c>
      <x:c r="G281" s="39">
        <x:f>J9</x:f>
        <x:v>0</x:v>
      </x:c>
      <x:c r="H281" s="1"/>
      <x:c r="I281" s="1"/>
      <x:c r="J281" s="36">
        <x:f>F281+I281-G281-H281</x:f>
        <x:v>0</x:v>
      </x:c>
      <x:c r="K281" s="37">
        <x:f>J281/C281</x:f>
        <x:v>0</x:v>
      </x:c>
      <x:c r="L281" s="25">
        <x:f>IF(J281&lt;M281,119,"")</x:f>
        <x:v>119</x:v>
      </x:c>
      <x:c r="M281" s="34">
        <x:f>R9*C281</x:f>
        <x:v>10</x:v>
      </x:c>
      <x:c r="N281" s="35">
        <x:f>J281-M281</x:f>
        <x:v>-10</x:v>
      </x:c>
    </x:row>
    <x:row r="282" spans="1:14" customFormat="1" ht="18.75" customHeight="1">
      <x:c r="A282" s="15" t="s">
        <x:v>149</x:v>
      </x:c>
      <x:c r="B282" s="14" t="s">
        <x:v>229</x:v>
      </x:c>
      <x:c r="C282" s="1">
        <x:v>1</x:v>
      </x:c>
      <x:c r="D282" s="14" t="s">
        <x:v>73</x:v>
      </x:c>
      <x:c r="E282" s="6" t="s">
        <x:v>162</x:v>
      </x:c>
      <x:c r="F282" s="38">
        <x:f>'2026.9.11'!J240</x:f>
        <x:v>0</x:v>
      </x:c>
      <x:c r="G282" s="39">
        <x:f>J9</x:f>
        <x:v>0</x:v>
      </x:c>
      <x:c r="H282" s="1"/>
      <x:c r="I282" s="1"/>
      <x:c r="J282" s="36">
        <x:f>F282+I282-G282-H282</x:f>
        <x:v>0</x:v>
      </x:c>
      <x:c r="K282" s="37">
        <x:f>J282/C282</x:f>
        <x:v>0</x:v>
      </x:c>
      <x:c r="L282" s="25">
        <x:f>IF(J282&lt;M282,119,"")</x:f>
        <x:v>119</x:v>
      </x:c>
      <x:c r="M282" s="34">
        <x:f>R9*C282</x:f>
        <x:v>10</x:v>
      </x:c>
      <x:c r="N282" s="35">
        <x:f>J282-M282</x:f>
        <x:v>-10</x:v>
      </x:c>
    </x:row>
    <x:row r="283" spans="1:14" customFormat="1" ht="18.75" customHeight="1">
      <x:c r="A283" s="15" t="s">
        <x:v>180</x:v>
      </x:c>
      <x:c r="B283" s="14" t="s">
        <x:v>229</x:v>
      </x:c>
      <x:c r="C283" s="1">
        <x:v>1</x:v>
      </x:c>
      <x:c r="D283" s="14" t="s">
        <x:v>22</x:v>
      </x:c>
      <x:c r="E283" s="6" t="s">
        <x:v>37</x:v>
      </x:c>
      <x:c r="F283" s="38">
        <x:f>'2026.9.11'!J241</x:f>
        <x:v>0</x:v>
      </x:c>
      <x:c r="G283" s="39">
        <x:f>H38*C283</x:f>
        <x:v>0</x:v>
      </x:c>
      <x:c r="H283" s="1"/>
      <x:c r="I283" s="1"/>
      <x:c r="J283" s="36">
        <x:f>F283+I283-G283-H283</x:f>
        <x:v>0</x:v>
      </x:c>
      <x:c r="K283" s="37">
        <x:f>J283/C283</x:f>
        <x:v>0</x:v>
      </x:c>
      <x:c r="L283" s="25" t="str">
        <x:f>IF(J283&lt;M283,119,"")</x:f>
        <x:v/>
      </x:c>
      <x:c r="M283" s="34">
        <x:f>P38*C283</x:f>
        <x:v>0</x:v>
      </x:c>
      <x:c r="N283" s="35">
        <x:f>J283-M283</x:f>
        <x:v>0</x:v>
      </x:c>
    </x:row>
    <x:row r="284" spans="1:14" customFormat="1" ht="18.75" customHeight="1">
      <x:c r="A284" s="15" t="s">
        <x:v>180</x:v>
      </x:c>
      <x:c r="B284" s="14" t="s">
        <x:v>229</x:v>
      </x:c>
      <x:c r="C284" s="1">
        <x:v>1</x:v>
      </x:c>
      <x:c r="D284" s="14" t="s">
        <x:v>96</x:v>
      </x:c>
      <x:c r="E284" s="6" t="s">
        <x:v>118</x:v>
      </x:c>
      <x:c r="F284" s="38">
        <x:f>'2026.9.11'!J242</x:f>
        <x:v>2</x:v>
      </x:c>
      <x:c r="G284" s="39">
        <x:f>H39*C284</x:f>
        <x:v>0</x:v>
      </x:c>
      <x:c r="H284" s="1"/>
      <x:c r="I284" s="1"/>
      <x:c r="J284" s="36">
        <x:f>F284+I284-G284-H284</x:f>
        <x:v>2</x:v>
      </x:c>
      <x:c r="K284" s="37">
        <x:f>J284/C284</x:f>
        <x:v>2</x:v>
      </x:c>
      <x:c r="L284" s="25" t="str">
        <x:f>IF(J284&lt;M284,119,"")</x:f>
        <x:v/>
      </x:c>
      <x:c r="M284" s="34">
        <x:f>P39*C284</x:f>
        <x:v>0</x:v>
      </x:c>
      <x:c r="N284" s="35">
        <x:f>J284-M284</x:f>
        <x:v>2</x:v>
      </x:c>
    </x:row>
    <x:row r="285" spans="1:14" ht="18.75" customHeight="1">
      <x:c r="A285" s="15" t="s">
        <x:v>163</x:v>
      </x:c>
      <x:c r="B285" s="14" t="s">
        <x:v>143</x:v>
      </x:c>
      <x:c r="C285" s="2">
        <x:v>16</x:v>
      </x:c>
      <x:c r="D285" s="9" t="s">
        <x:v>268</x:v>
      </x:c>
      <x:c r="E285" s="24" t="s">
        <x:v>35</x:v>
      </x:c>
      <x:c r="F285" s="38">
        <x:f>'2026.9.11'!J243</x:f>
        <x:v>916</x:v>
      </x:c>
      <x:c r="G285" s="39">
        <x:f>SUM(H4:H18)*16+SUM(H19:H31)*8</x:f>
        <x:v>0</x:v>
      </x:c>
      <x:c r="J285" s="36">
        <x:f>F285+I285-G285-H285</x:f>
        <x:v>916</x:v>
      </x:c>
      <x:c r="K285" s="37">
        <x:f>J285/C285</x:f>
        <x:v>57.25</x:v>
      </x:c>
      <x:c r="L285" s="25">
        <x:f>IF(J285&lt;M285,119,"")</x:f>
        <x:v>119</x:v>
      </x:c>
      <x:c r="M285" s="34">
        <x:f>SUM(P4:P31)*C285</x:f>
        <x:v>1328</x:v>
      </x:c>
      <x:c r="N285" s="35">
        <x:f>J285-M285</x:f>
        <x:v>-412</x:v>
      </x:c>
    </x:row>
    <x:row r="286" spans="1:14" ht="18.75" customHeight="1">
      <x:c r="A286" s="15" t="s">
        <x:v>163</x:v>
      </x:c>
      <x:c r="B286" s="14" t="s">
        <x:v>143</x:v>
      </x:c>
      <x:c r="C286" s="2">
        <x:v>8</x:v>
      </x:c>
      <x:c r="D286" s="9" t="s">
        <x:v>268</x:v>
      </x:c>
      <x:c r="E286" s="1" t="s">
        <x:v>54</x:v>
      </x:c>
      <x:c r="F286" s="38">
        <x:f>'2026.9.11'!J244</x:f>
        <x:v>1190</x:v>
      </x:c>
      <x:c r="G286" s="39">
        <x:f>SUM(H4:H18)*8+SUM(H19:H31)*8</x:f>
        <x:v>0</x:v>
      </x:c>
      <x:c r="J286" s="36">
        <x:f>F286+I286-G286-H286</x:f>
        <x:v>1190</x:v>
      </x:c>
      <x:c r="K286" s="37">
        <x:f>J286/C286</x:f>
        <x:v>148.75</x:v>
      </x:c>
      <x:c r="L286" s="25" t="str">
        <x:f>IF(J286&lt;M286,119,"")</x:f>
        <x:v/>
      </x:c>
      <x:c r="M286" s="34">
        <x:f>SUM(P4:P31)*C286</x:f>
        <x:v>664</x:v>
      </x:c>
      <x:c r="N286" s="35">
        <x:f>J286-M286</x:f>
        <x:v>526</x:v>
      </x:c>
    </x:row>
    <x:row r="287" spans="1:14" ht="18.75" customHeight="1">
      <x:c r="A287" s="15" t="s">
        <x:v>163</x:v>
      </x:c>
      <x:c r="B287" s="14" t="s">
        <x:v>143</x:v>
      </x:c>
      <x:c r="C287" s="2">
        <x:v>8</x:v>
      </x:c>
      <x:c r="D287" s="9" t="s">
        <x:v>70</x:v>
      </x:c>
      <x:c r="E287" s="1" t="s">
        <x:v>20</x:v>
      </x:c>
      <x:c r="F287" s="38">
        <x:f>'2026.9.11'!J245</x:f>
        <x:v>740</x:v>
      </x:c>
      <x:c r="G287" s="39">
        <x:f>SUM(H32:H35)*C287</x:f>
        <x:v>0</x:v>
      </x:c>
      <x:c r="J287" s="36">
        <x:f>F287+I287-G287-H287</x:f>
        <x:v>740</x:v>
      </x:c>
      <x:c r="K287" s="37">
        <x:f>J287/C287</x:f>
        <x:v>92.5</x:v>
      </x:c>
      <x:c r="L287" s="25" t="str">
        <x:f>IF(J287&lt;M287,119,"")</x:f>
        <x:v/>
      </x:c>
      <x:c r="M287" s="34">
        <x:f>P32*C287</x:f>
        <x:v>136</x:v>
      </x:c>
      <x:c r="N287" s="35">
        <x:f>J287-M287</x:f>
        <x:v>604</x:v>
      </x:c>
    </x:row>
    <x:row r="288" spans="1:14" ht="18.75" customHeight="1">
      <x:c r="A288" s="15" t="s">
        <x:v>163</x:v>
      </x:c>
      <x:c r="B288" s="14" t="s">
        <x:v>143</x:v>
      </x:c>
      <x:c r="C288" s="2">
        <x:v>8</x:v>
      </x:c>
      <x:c r="D288" s="9" t="s">
        <x:v>249</x:v>
      </x:c>
      <x:c r="E288" s="1" t="s">
        <x:v>58</x:v>
      </x:c>
      <x:c r="F288" s="38">
        <x:f>'2026.9.11'!J246</x:f>
        <x:v>130</x:v>
      </x:c>
      <x:c r="G288" s="39">
        <x:f>SUM(H19:H31)*C288</x:f>
        <x:v>0</x:v>
      </x:c>
      <x:c r="J288" s="36">
        <x:f>F288+I288-G288-H288</x:f>
        <x:v>130</x:v>
      </x:c>
      <x:c r="K288" s="37">
        <x:f>J288/C288</x:f>
        <x:v>16.25</x:v>
      </x:c>
      <x:c r="L288" s="25">
        <x:f>IF(J288&lt;M288,119,"")</x:f>
        <x:v>119</x:v>
      </x:c>
      <x:c r="M288" s="34">
        <x:f>SUM(P19:P31)*C288</x:f>
        <x:v>152</x:v>
      </x:c>
      <x:c r="N288" s="35">
        <x:f>J288-M288</x:f>
        <x:v>-22</x:v>
      </x:c>
    </x:row>
    <x:row r="289" spans="1:14" ht="18.75" customHeight="1">
      <x:c r="A289" s="15" t="s">
        <x:v>163</x:v>
      </x:c>
      <x:c r="B289" s="14" t="s">
        <x:v>143</x:v>
      </x:c>
      <x:c r="C289" s="2">
        <x:v>8</x:v>
      </x:c>
      <x:c r="D289" s="9" t="s">
        <x:v>70</x:v>
      </x:c>
      <x:c r="E289" s="1" t="s">
        <x:v>77</x:v>
      </x:c>
      <x:c r="F289" s="38">
        <x:f>'2026.9.11'!J247</x:f>
        <x:v>440</x:v>
      </x:c>
      <x:c r="G289" s="39">
        <x:f>SUM(H32:H35)*C289</x:f>
        <x:v>0</x:v>
      </x:c>
      <x:c r="J289" s="36">
        <x:f>F289+I289-G289-H289</x:f>
        <x:v>440</x:v>
      </x:c>
      <x:c r="K289" s="37">
        <x:f>J289/C289</x:f>
        <x:v>55</x:v>
      </x:c>
      <x:c r="L289" s="25" t="str">
        <x:f>IF(J289&lt;M289,119,"")</x:f>
        <x:v/>
      </x:c>
      <x:c r="M289" s="34">
        <x:f>SUM(P32:P35)*C289</x:f>
        <x:v>136</x:v>
      </x:c>
      <x:c r="N289" s="35">
        <x:f>J289-M289</x:f>
        <x:v>304</x:v>
      </x:c>
    </x:row>
    <x:row r="290" spans="1:14" ht="18.75" customHeight="1">
      <x:c r="A290" s="15" t="s">
        <x:v>163</x:v>
      </x:c>
      <x:c r="B290" s="14" t="s">
        <x:v>143</x:v>
      </x:c>
      <x:c r="C290" s="2">
        <x:v>8</x:v>
      </x:c>
      <x:c r="D290" s="9" t="s">
        <x:v>277</x:v>
      </x:c>
      <x:c r="E290" s="1" t="s">
        <x:v>28</x:v>
      </x:c>
      <x:c r="F290" s="38">
        <x:f>'2026.9.11'!J248</x:f>
        <x:v>409</x:v>
      </x:c>
      <x:c r="G290" s="39">
        <x:f>SUM(H32,J9)*C290</x:f>
        <x:v>0</x:v>
      </x:c>
      <x:c r="J290" s="36">
        <x:f>F290+I290-G290-H290</x:f>
        <x:v>409</x:v>
      </x:c>
      <x:c r="K290" s="37">
        <x:f>J290/C290</x:f>
        <x:v>51.125</x:v>
      </x:c>
      <x:c r="L290" s="25" t="str">
        <x:f>IF(J290&lt;M290,119,"")</x:f>
        <x:v/>
      </x:c>
      <x:c r="M290" s="34">
        <x:f>SUM(P32:P35,R9)*C290</x:f>
        <x:v>216</x:v>
      </x:c>
      <x:c r="N290" s="35">
        <x:f>J290-M290</x:f>
        <x:v>193</x:v>
      </x:c>
    </x:row>
    <x:row r="291" spans="1:14" customFormat="1" ht="18.75" customHeight="1">
      <x:c r="A291" s="15" t="s">
        <x:v>163</x:v>
      </x:c>
      <x:c r="B291" s="14">
        <x:v>10.9</x:v>
      </x:c>
      <x:c r="C291" s="2">
        <x:v>4</x:v>
      </x:c>
      <x:c r="D291" s="14" t="s">
        <x:v>244</x:v>
      </x:c>
      <x:c r="E291" s="1" t="s">
        <x:v>213</x:v>
      </x:c>
      <x:c r="F291" s="38">
        <x:f>'2026.9.11'!J249</x:f>
        <x:v>26</x:v>
      </x:c>
      <x:c r="G291" s="39">
        <x:f>H36*C291</x:f>
        <x:v>0</x:v>
      </x:c>
      <x:c r="H291" s="1"/>
      <x:c r="I291" s="1"/>
      <x:c r="J291" s="36">
        <x:f>F291+I291-G291-H291</x:f>
        <x:v>26</x:v>
      </x:c>
      <x:c r="K291" s="37">
        <x:f>J291/C291</x:f>
        <x:v>6.5</x:v>
      </x:c>
      <x:c r="L291" s="25" t="str">
        <x:f>IF(J291&lt;M291,119,"")</x:f>
        <x:v/>
      </x:c>
      <x:c r="M291" s="34">
        <x:f>P36*C291</x:f>
        <x:v>0</x:v>
      </x:c>
      <x:c r="N291" s="35">
        <x:f>J291-M291</x:f>
        <x:v>26</x:v>
      </x:c>
    </x:row>
    <x:row r="292" spans="1:14" customFormat="1" ht="18.75" customHeight="1">
      <x:c r="A292" s="15" t="s">
        <x:v>163</x:v>
      </x:c>
      <x:c r="B292" s="14">
        <x:v>10.9</x:v>
      </x:c>
      <x:c r="C292" s="2">
        <x:v>4</x:v>
      </x:c>
      <x:c r="D292" s="14" t="s">
        <x:v>276</x:v>
      </x:c>
      <x:c r="E292" s="1" t="s">
        <x:v>210</x:v>
      </x:c>
      <x:c r="F292" s="38">
        <x:f>'2026.9.11'!J250</x:f>
        <x:v>3</x:v>
      </x:c>
      <x:c r="G292" s="39">
        <x:f>SUM(H36:H37)*C292</x:f>
        <x:v>0</x:v>
      </x:c>
      <x:c r="H292" s="1"/>
      <x:c r="I292" s="1"/>
      <x:c r="J292" s="36">
        <x:f>F292+I292-G292-H292</x:f>
        <x:v>3</x:v>
      </x:c>
      <x:c r="K292" s="37">
        <x:f>J292/C292</x:f>
        <x:v>0.75</x:v>
      </x:c>
      <x:c r="L292" s="25" t="str">
        <x:f>IF(J292&lt;M292,119,"")</x:f>
        <x:v/>
      </x:c>
      <x:c r="M292" s="34">
        <x:f>SUM(P36:P37)*C292</x:f>
        <x:v>0</x:v>
      </x:c>
      <x:c r="N292" s="35">
        <x:f>J292-M292</x:f>
        <x:v>3</x:v>
      </x:c>
    </x:row>
    <x:row r="293" spans="1:14" customFormat="1" ht="18.75" customHeight="1">
      <x:c r="A293" s="15" t="s">
        <x:v>163</x:v>
      </x:c>
      <x:c r="B293" s="14">
        <x:v>10.9</x:v>
      </x:c>
      <x:c r="C293" s="2">
        <x:v>4</x:v>
      </x:c>
      <x:c r="D293" s="14" t="s">
        <x:v>247</x:v>
      </x:c>
      <x:c r="E293" s="1" t="s">
        <x:v>224</x:v>
      </x:c>
      <x:c r="F293" s="38">
        <x:f>'2026.9.11'!J251</x:f>
        <x:v>6</x:v>
      </x:c>
      <x:c r="G293" s="39">
        <x:f>H37*C293</x:f>
        <x:v>0</x:v>
      </x:c>
      <x:c r="H293" s="1"/>
      <x:c r="I293" s="1"/>
      <x:c r="J293" s="36">
        <x:f>F293+I293-G293-H293</x:f>
        <x:v>6</x:v>
      </x:c>
      <x:c r="K293" s="37">
        <x:f>J293/C293</x:f>
        <x:v>1.5</x:v>
      </x:c>
      <x:c r="L293" s="25" t="str">
        <x:f>IF(J293&lt;M293,119,"")</x:f>
        <x:v/>
      </x:c>
      <x:c r="M293" s="34">
        <x:f>P37*C293</x:f>
        <x:v>0</x:v>
      </x:c>
      <x:c r="N293" s="35">
        <x:f>J293-M293</x:f>
        <x:v>6</x:v>
      </x:c>
    </x:row>
    <x:row r="294" spans="1:14" customFormat="1" ht="18.75" customHeight="1">
      <x:c r="A294" s="15" t="s">
        <x:v>163</x:v>
      </x:c>
      <x:c r="B294" s="14">
        <x:v>10.9</x:v>
      </x:c>
      <x:c r="C294" s="2">
        <x:v>4</x:v>
      </x:c>
      <x:c r="D294" s="14" t="s">
        <x:v>276</x:v>
      </x:c>
      <x:c r="E294" s="1" t="s">
        <x:v>226</x:v>
      </x:c>
      <x:c r="F294" s="38">
        <x:f>'2026.9.11'!J252</x:f>
        <x:v>2</x:v>
      </x:c>
      <x:c r="G294" s="39">
        <x:f>SUM(H36:H37)*C294</x:f>
        <x:v>0</x:v>
      </x:c>
      <x:c r="H294" s="1"/>
      <x:c r="I294" s="1"/>
      <x:c r="J294" s="36">
        <x:f>F294+I294-G294-H294</x:f>
        <x:v>2</x:v>
      </x:c>
      <x:c r="K294" s="37">
        <x:f>J294/C294</x:f>
        <x:v>0.5</x:v>
      </x:c>
      <x:c r="L294" s="25" t="str">
        <x:f>IF(J294&lt;M294,119,"")</x:f>
        <x:v/>
      </x:c>
      <x:c r="M294" s="34">
        <x:f>SUM(P36:P37)*C294</x:f>
        <x:v>0</x:v>
      </x:c>
      <x:c r="N294" s="35">
        <x:f>J294-M294</x:f>
        <x:v>2</x:v>
      </x:c>
    </x:row>
    <x:row r="295" spans="1:14" customFormat="1" ht="18.75" customHeight="1">
      <x:c r="A295" s="15" t="s">
        <x:v>163</x:v>
      </x:c>
      <x:c r="B295" s="14" t="s">
        <x:v>143</x:v>
      </x:c>
      <x:c r="C295" s="2">
        <x:v>8</x:v>
      </x:c>
      <x:c r="D295" s="14" t="s">
        <x:v>11</x:v>
      </x:c>
      <x:c r="E295" s="1" t="s">
        <x:v>209</x:v>
      </x:c>
      <x:c r="F295" s="38">
        <x:f>'2026.9.11'!J253</x:f>
        <x:v>23</x:v>
      </x:c>
      <x:c r="G295" s="39">
        <x:f>SUM(H38:H39)*C295</x:f>
        <x:v>0</x:v>
      </x:c>
      <x:c r="H295" s="1"/>
      <x:c r="I295" s="1"/>
      <x:c r="J295" s="36">
        <x:f>F295+I295-G295-H295</x:f>
        <x:v>23</x:v>
      </x:c>
      <x:c r="K295" s="37">
        <x:f>J295/C295</x:f>
        <x:v>2.875</x:v>
      </x:c>
      <x:c r="L295" s="25" t="str">
        <x:f>IF(J295&lt;M295,119,"")</x:f>
        <x:v/>
      </x:c>
      <x:c r="M295" s="34">
        <x:f>SUM(P38:P39)*C295</x:f>
        <x:v>0</x:v>
      </x:c>
      <x:c r="N295" s="35">
        <x:f>J295-M295</x:f>
        <x:v>23</x:v>
      </x:c>
    </x:row>
    <x:row r="296" spans="1:14" customFormat="1" ht="18.75" customHeight="1">
      <x:c r="A296" s="15" t="s">
        <x:v>163</x:v>
      </x:c>
      <x:c r="B296" s="14" t="s">
        <x:v>143</x:v>
      </x:c>
      <x:c r="C296" s="2">
        <x:v>20</x:v>
      </x:c>
      <x:c r="D296" s="14" t="s">
        <x:v>11</x:v>
      </x:c>
      <x:c r="E296" s="1" t="s">
        <x:v>217</x:v>
      </x:c>
      <x:c r="F296" s="38">
        <x:f>'2026.9.11'!J254</x:f>
        <x:v>114</x:v>
      </x:c>
      <x:c r="G296" s="39">
        <x:f>SUM(H38:H39)*C296</x:f>
        <x:v>0</x:v>
      </x:c>
      <x:c r="H296" s="1"/>
      <x:c r="I296" s="1"/>
      <x:c r="J296" s="36">
        <x:f>F296+I296-G296-H296</x:f>
        <x:v>114</x:v>
      </x:c>
      <x:c r="K296" s="37">
        <x:f>J296/C296</x:f>
        <x:v>5.7000000000000002</x:v>
      </x:c>
      <x:c r="L296" s="25" t="str">
        <x:f>IF(J296&lt;M296,119,"")</x:f>
        <x:v/>
      </x:c>
      <x:c r="M296" s="34">
        <x:f>SUM(P38:P39)*C296</x:f>
        <x:v>0</x:v>
      </x:c>
      <x:c r="N296" s="35">
        <x:f>J296-M296</x:f>
        <x:v>114</x:v>
      </x:c>
    </x:row>
    <x:row r="297" spans="1:14" customFormat="1" ht="18.75" customHeight="1">
      <x:c r="A297" s="15" t="s">
        <x:v>163</x:v>
      </x:c>
      <x:c r="B297" s="14" t="s">
        <x:v>143</x:v>
      </x:c>
      <x:c r="C297" s="2">
        <x:v>8</x:v>
      </x:c>
      <x:c r="D297" s="14" t="s">
        <x:v>11</x:v>
      </x:c>
      <x:c r="E297" s="1" t="s">
        <x:v>228</x:v>
      </x:c>
      <x:c r="F297" s="38">
        <x:f>'2026.9.11'!J255</x:f>
        <x:v>36</x:v>
      </x:c>
      <x:c r="G297" s="39">
        <x:f>SUM(H38:H39)*C297</x:f>
        <x:v>0</x:v>
      </x:c>
      <x:c r="H297" s="1"/>
      <x:c r="I297" s="1"/>
      <x:c r="J297" s="36">
        <x:f>F297+I297-G297-H297</x:f>
        <x:v>36</x:v>
      </x:c>
      <x:c r="K297" s="37">
        <x:f>J297/C297</x:f>
        <x:v>4.5</x:v>
      </x:c>
      <x:c r="L297" s="25" t="str">
        <x:f>IF(J297&lt;M297,119,"")</x:f>
        <x:v/>
      </x:c>
      <x:c r="M297" s="34">
        <x:f>SUM(P38:P39)*C297</x:f>
        <x:v>0</x:v>
      </x:c>
      <x:c r="N297" s="35">
        <x:f>J297-M297</x:f>
        <x:v>36</x:v>
      </x:c>
    </x:row>
    <x:row r="298" spans="1:14" ht="18.75" customHeight="1">
      <x:c r="A298" s="15" t="s">
        <x:v>163</x:v>
      </x:c>
      <x:c r="B298" s="14" t="s">
        <x:v>143</x:v>
      </x:c>
      <x:c r="C298" s="2">
        <x:v>8</x:v>
      </x:c>
      <x:c r="D298" s="9" t="s">
        <x:v>47</x:v>
      </x:c>
      <x:c r="E298" s="1" t="s">
        <x:v>46</x:v>
      </x:c>
      <x:c r="F298" s="38">
        <x:f>'2026.9.11'!J256</x:f>
        <x:v>91</x:v>
      </x:c>
      <x:c r="G298" s="39">
        <x:f>J8*C298</x:f>
        <x:v>0</x:v>
      </x:c>
      <x:c r="J298" s="36">
        <x:f>F298+I298-G298-H298</x:f>
        <x:v>91</x:v>
      </x:c>
      <x:c r="K298" s="37">
        <x:f>J298/C298</x:f>
        <x:v>11.375</x:v>
      </x:c>
      <x:c r="L298" s="25" t="str">
        <x:f>IF(J298&lt;M298,119,"")</x:f>
        <x:v/>
      </x:c>
      <x:c r="M298" s="34">
        <x:f>R8*C298</x:f>
        <x:v>80</x:v>
      </x:c>
      <x:c r="N298" s="35">
        <x:f>J298-M298</x:f>
        <x:v>11</x:v>
      </x:c>
    </x:row>
    <x:row r="299" spans="1:14" ht="18.75" customHeight="1">
      <x:c r="A299" s="15" t="s">
        <x:v>163</x:v>
      </x:c>
      <x:c r="B299" s="14" t="s">
        <x:v>143</x:v>
      </x:c>
      <x:c r="C299" s="2">
        <x:v>4</x:v>
      </x:c>
      <x:c r="D299" s="9" t="s">
        <x:v>275</x:v>
      </x:c>
      <x:c r="E299" s="1" t="s">
        <x:v>42</x:v>
      </x:c>
      <x:c r="F299" s="38">
        <x:f>'2026.9.11'!J257</x:f>
        <x:v>90</x:v>
      </x:c>
      <x:c r="G299" s="39">
        <x:f>SUM(J8:J9)*C299</x:f>
        <x:v>0</x:v>
      </x:c>
      <x:c r="J299" s="36">
        <x:f>F299+I299-G299-H299</x:f>
        <x:v>90</x:v>
      </x:c>
      <x:c r="K299" s="37">
        <x:f>J299/C299</x:f>
        <x:v>22.5</x:v>
      </x:c>
      <x:c r="L299" s="25" t="str">
        <x:f>IF(J299&lt;M299,119,"")</x:f>
        <x:v/>
      </x:c>
      <x:c r="M299" s="34">
        <x:f>SUM(R8:R9)*C299</x:f>
        <x:v>80</x:v>
      </x:c>
      <x:c r="N299" s="35">
        <x:f>J299-M299</x:f>
        <x:v>10</x:v>
      </x:c>
    </x:row>
    <x:row r="300" spans="1:14" ht="18.75" customHeight="1">
      <x:c r="A300" s="15" t="s">
        <x:v>163</x:v>
      </x:c>
      <x:c r="B300" s="14" t="s">
        <x:v>137</x:v>
      </x:c>
      <x:c r="C300" s="2">
        <x:v>4</x:v>
      </x:c>
      <x:c r="D300" s="9" t="s">
        <x:v>83</x:v>
      </x:c>
      <x:c r="E300" s="1" t="s">
        <x:v>208</x:v>
      </x:c>
      <x:c r="F300" s="38">
        <x:f>'2026.9.11'!J258</x:f>
        <x:v>110</x:v>
      </x:c>
      <x:c r="G300" s="39">
        <x:f>J6*C300</x:f>
        <x:v>0</x:v>
      </x:c>
      <x:c r="J300" s="36">
        <x:f>F300+I300-G300-H300</x:f>
        <x:v>110</x:v>
      </x:c>
      <x:c r="K300" s="37">
        <x:f>J300/C300</x:f>
        <x:v>27.5</x:v>
      </x:c>
      <x:c r="L300" s="25" t="str">
        <x:f>IF(J300&lt;M300,119,"")</x:f>
        <x:v/>
      </x:c>
      <x:c r="M300" s="34">
        <x:f>R6*C300</x:f>
        <x:v>52</x:v>
      </x:c>
      <x:c r="N300" s="35">
        <x:f>J300-M300</x:f>
        <x:v>58</x:v>
      </x:c>
    </x:row>
    <x:row r="301" spans="1:14" ht="18.75" customHeight="1">
      <x:c r="A301" s="15" t="s">
        <x:v>163</x:v>
      </x:c>
      <x:c r="B301" s="14" t="s">
        <x:v>137</x:v>
      </x:c>
      <x:c r="C301" s="2">
        <x:v>8</x:v>
      </x:c>
      <x:c r="D301" s="9" t="s">
        <x:v>83</x:v>
      </x:c>
      <x:c r="E301" s="1" t="s">
        <x:v>167</x:v>
      </x:c>
      <x:c r="F301" s="38">
        <x:f>'2026.9.11'!J259</x:f>
        <x:v>70</x:v>
      </x:c>
      <x:c r="G301" s="39">
        <x:f>J6*C301</x:f>
        <x:v>0</x:v>
      </x:c>
      <x:c r="J301" s="36">
        <x:f>F301+I301-G301-H301</x:f>
        <x:v>70</x:v>
      </x:c>
      <x:c r="K301" s="37">
        <x:f>J301/C301</x:f>
        <x:v>8.75</x:v>
      </x:c>
      <x:c r="L301" s="25">
        <x:f>IF(J301&lt;M301,119,"")</x:f>
        <x:v>119</x:v>
      </x:c>
      <x:c r="M301" s="34">
        <x:f>R6*C301</x:f>
        <x:v>104</x:v>
      </x:c>
      <x:c r="N301" s="35">
        <x:f>J301-M301</x:f>
        <x:v>-34</x:v>
      </x:c>
    </x:row>
    <x:row r="302" spans="1:14" customFormat="1" ht="18.75" customHeight="1">
      <x:c r="A302" s="15" t="s">
        <x:v>163</x:v>
      </x:c>
      <x:c r="B302" s="14" t="s">
        <x:v>137</x:v>
      </x:c>
      <x:c r="C302" s="2">
        <x:v>4</x:v>
      </x:c>
      <x:c r="D302" s="9" t="s">
        <x:v>41</x:v>
      </x:c>
      <x:c r="E302" s="1" t="s">
        <x:v>168</x:v>
      </x:c>
      <x:c r="F302" s="38">
        <x:f>'2026.9.11'!J260</x:f>
        <x:v>64</x:v>
      </x:c>
      <x:c r="G302" s="39">
        <x:f>J7*F302</x:f>
        <x:v>0</x:v>
      </x:c>
      <x:c r="H302" s="1"/>
      <x:c r="I302" s="1"/>
      <x:c r="J302" s="36">
        <x:f>F302+I302-G302-H302</x:f>
        <x:v>64</x:v>
      </x:c>
      <x:c r="K302" s="37">
        <x:f>J302/C302</x:f>
        <x:v>16</x:v>
      </x:c>
      <x:c r="L302" s="25" t="str">
        <x:f>IF(J302&lt;M302,119,"")</x:f>
        <x:v/>
      </x:c>
      <x:c r="M302" s="34">
        <x:f>R7*C302</x:f>
        <x:v>0</x:v>
      </x:c>
      <x:c r="N302" s="35">
        <x:f>J302-M302</x:f>
        <x:v>64</x:v>
      </x:c>
    </x:row>
    <x:row r="303" spans="1:14" customFormat="1" ht="18.75" customHeight="1">
      <x:c r="A303" s="15" t="s">
        <x:v>163</x:v>
      </x:c>
      <x:c r="B303" s="14" t="s">
        <x:v>137</x:v>
      </x:c>
      <x:c r="C303" s="2">
        <x:v>8</x:v>
      </x:c>
      <x:c r="D303" s="9" t="s">
        <x:v>41</x:v>
      </x:c>
      <x:c r="E303" s="1" t="s">
        <x:v>139</x:v>
      </x:c>
      <x:c r="F303" s="38">
        <x:f>'2026.9.11'!J261</x:f>
        <x:v>49</x:v>
      </x:c>
      <x:c r="G303" s="39">
        <x:f>J7*C303</x:f>
        <x:v>0</x:v>
      </x:c>
      <x:c r="H303" s="1"/>
      <x:c r="I303" s="1"/>
      <x:c r="J303" s="36">
        <x:f>F303+I303-G303-H303</x:f>
        <x:v>49</x:v>
      </x:c>
      <x:c r="K303" s="37">
        <x:f>J303/C303</x:f>
        <x:v>6.125</x:v>
      </x:c>
      <x:c r="L303" s="25" t="str">
        <x:f>IF(J303&lt;M303,119,"")</x:f>
        <x:v/>
      </x:c>
      <x:c r="M303" s="34">
        <x:f>R7*C303</x:f>
        <x:v>0</x:v>
      </x:c>
      <x:c r="N303" s="35">
        <x:f>J303-M303</x:f>
        <x:v>49</x:v>
      </x:c>
    </x:row>
    <x:row r="304" spans="1:14" ht="18.75" customHeight="1">
      <x:c r="A304" s="11" t="s">
        <x:v>290</x:v>
      </x:c>
      <x:c r="B304" s="9" t="s">
        <x:v>143</x:v>
      </x:c>
      <x:c r="C304" s="1">
        <x:v>24</x:v>
      </x:c>
      <x:c r="D304" s="9" t="s">
        <x:v>262</x:v>
      </x:c>
      <x:c r="E304" s="1" t="s">
        <x:v>205</x:v>
      </x:c>
      <x:c r="F304" s="38">
        <x:f>'2026.9.11'!J262</x:f>
        <x:v>2640</x:v>
      </x:c>
      <x:c r="G304" s="39">
        <x:f>SUM(H4:H18)*C304</x:f>
        <x:v>0</x:v>
      </x:c>
      <x:c r="J304" s="36">
        <x:f>F304+I304-G304-H304</x:f>
        <x:v>2640</x:v>
      </x:c>
      <x:c r="K304" s="37">
        <x:f>J304/C304</x:f>
        <x:v>110</x:v>
      </x:c>
      <x:c r="L304" s="25" t="str">
        <x:f>IF(J304&lt;M304,119,"")</x:f>
        <x:v/>
      </x:c>
      <x:c r="M304" s="34">
        <x:f>SUM(P4:P18)*C304</x:f>
        <x:v>1536</x:v>
      </x:c>
      <x:c r="N304" s="35">
        <x:f>J304-M304</x:f>
        <x:v>1104</x:v>
      </x:c>
    </x:row>
    <x:row r="305" spans="1:14" ht="18.75" customHeight="1">
      <x:c r="A305" s="11" t="s">
        <x:v>290</x:v>
      </x:c>
      <x:c r="B305" s="9" t="s">
        <x:v>143</x:v>
      </x:c>
      <x:c r="C305" s="1">
        <x:v>24</x:v>
      </x:c>
      <x:c r="D305" s="9" t="s">
        <x:v>249</x:v>
      </x:c>
      <x:c r="E305" s="1" t="s">
        <x:v>178</x:v>
      </x:c>
      <x:c r="F305" s="38">
        <x:f>'2026.9.11'!J263</x:f>
        <x:v>620</x:v>
      </x:c>
      <x:c r="G305" s="39">
        <x:f>SUM(H19:H31)*C305</x:f>
        <x:v>0</x:v>
      </x:c>
      <x:c r="J305" s="36">
        <x:f>F305+I305-G305-H305</x:f>
        <x:v>620</x:v>
      </x:c>
      <x:c r="K305" s="37">
        <x:f>J305/C305</x:f>
        <x:v>25.833333333333332</x:v>
      </x:c>
      <x:c r="L305" s="25" t="str">
        <x:f>IF(J305&lt;M305,119,"")</x:f>
        <x:v/>
      </x:c>
      <x:c r="M305" s="34">
        <x:f>SUM(P19:P31)*C305</x:f>
        <x:v>456</x:v>
      </x:c>
      <x:c r="N305" s="35">
        <x:f>J305-M305</x:f>
        <x:v>164</x:v>
      </x:c>
    </x:row>
    <x:row r="306" spans="1:14" ht="18.75" customHeight="1">
      <x:c r="A306" s="11" t="s">
        <x:v>290</x:v>
      </x:c>
      <x:c r="B306" s="9" t="s">
        <x:v>143</x:v>
      </x:c>
      <x:c r="C306" s="1">
        <x:v>24</x:v>
      </x:c>
      <x:c r="D306" s="9" t="s">
        <x:v>245</x:v>
      </x:c>
      <x:c r="E306" s="1" t="s">
        <x:v>222</x:v>
      </x:c>
      <x:c r="F306" s="38">
        <x:f>'2026.9.11'!J264</x:f>
        <x:v>1500</x:v>
      </x:c>
      <x:c r="G306" s="39">
        <x:f>SUM(H4:H18)*24+SUM(H19:H31)*16+SUM(H32:H35)*12</x:f>
        <x:v>0</x:v>
      </x:c>
      <x:c r="J306" s="36">
        <x:f>F306+I306-G306-H306</x:f>
        <x:v>1500</x:v>
      </x:c>
      <x:c r="K306" s="37">
        <x:f>J306/C306</x:f>
        <x:v>62.5</x:v>
      </x:c>
      <x:c r="L306" s="25">
        <x:f>IF(J306&lt;M306,119,"")</x:f>
        <x:v>119</x:v>
      </x:c>
      <x:c r="M306" s="34">
        <x:f>SUM(P4:P35)*C306</x:f>
        <x:v>2400</x:v>
      </x:c>
      <x:c r="N306" s="35">
        <x:f>J306-M306</x:f>
        <x:v>-900</x:v>
      </x:c>
    </x:row>
    <x:row r="307" spans="1:14" ht="18.75" customHeight="1">
      <x:c r="A307" s="11" t="s">
        <x:v>290</x:v>
      </x:c>
      <x:c r="B307" s="9" t="s">
        <x:v>143</x:v>
      </x:c>
      <x:c r="C307" s="1">
        <x:v>16</x:v>
      </x:c>
      <x:c r="D307" s="9" t="s">
        <x:v>273</x:v>
      </x:c>
      <x:c r="E307" s="1" t="s">
        <x:v>169</x:v>
      </x:c>
      <x:c r="F307" s="38">
        <x:f>'2026.9.11'!J265</x:f>
        <x:v>1150</x:v>
      </x:c>
      <x:c r="G307" s="39">
        <x:f>SUM(H19:H31)*8+SUM(H32:H35)*16</x:f>
        <x:v>0</x:v>
      </x:c>
      <x:c r="J307" s="36">
        <x:f>F307+I307-G307-H307</x:f>
        <x:v>1150</x:v>
      </x:c>
      <x:c r="K307" s="37">
        <x:f>J307/C307</x:f>
        <x:v>71.875</x:v>
      </x:c>
      <x:c r="L307" s="25" t="str">
        <x:f>IF(J307&lt;M307,119,"")</x:f>
        <x:v/>
      </x:c>
      <x:c r="M307" s="34">
        <x:f>SUM(P19:P32)*C307</x:f>
        <x:v>576</x:v>
      </x:c>
      <x:c r="N307" s="35">
        <x:f>J307-M307</x:f>
        <x:v>574</x:v>
      </x:c>
    </x:row>
    <x:row r="308" spans="1:14" ht="18.75" customHeight="1">
      <x:c r="A308" s="11" t="s">
        <x:v>290</x:v>
      </x:c>
      <x:c r="B308" s="9" t="s">
        <x:v>143</x:v>
      </x:c>
      <x:c r="C308" s="1">
        <x:v>8</x:v>
      </x:c>
      <x:c r="D308" s="9" t="s">
        <x:v>70</x:v>
      </x:c>
      <x:c r="E308" s="1" t="s">
        <x:v>188</x:v>
      </x:c>
      <x:c r="F308" s="38">
        <x:f>'2026.9.11'!J266</x:f>
        <x:v>900</x:v>
      </x:c>
      <x:c r="G308" s="39">
        <x:f>SUM(H32:H35)*C308</x:f>
        <x:v>0</x:v>
      </x:c>
      <x:c r="J308" s="36">
        <x:f>F308+I308-G308-H308</x:f>
        <x:v>900</x:v>
      </x:c>
      <x:c r="K308" s="37">
        <x:f>J308/C308</x:f>
        <x:v>112.5</x:v>
      </x:c>
      <x:c r="L308" s="25" t="str">
        <x:f>IF(J308&lt;M308,119,"")</x:f>
        <x:v/>
      </x:c>
      <x:c r="M308" s="34">
        <x:f>SUM(P32:P35)*C308</x:f>
        <x:v>136</x:v>
      </x:c>
      <x:c r="N308" s="35">
        <x:f>J308-M308</x:f>
        <x:v>764</x:v>
      </x:c>
    </x:row>
    <x:row r="309" spans="1:14" customFormat="1" ht="18.75" customHeight="1">
      <x:c r="A309" s="11" t="s">
        <x:v>290</x:v>
      </x:c>
      <x:c r="B309" s="9">
        <x:v>10.9</x:v>
      </x:c>
      <x:c r="C309" s="1">
        <x:v>5</x:v>
      </x:c>
      <x:c r="D309" s="14" t="s">
        <x:v>276</x:v>
      </x:c>
      <x:c r="E309" s="1" t="s">
        <x:v>222</x:v>
      </x:c>
      <x:c r="F309" s="38">
        <x:f>'2026.9.11'!J267</x:f>
        <x:v>5</x:v>
      </x:c>
      <x:c r="G309" s="39">
        <x:f>SUM(H36:H37)*C309</x:f>
        <x:v>0</x:v>
      </x:c>
      <x:c r="H309" s="1"/>
      <x:c r="I309" s="1"/>
      <x:c r="J309" s="36">
        <x:f>F309+I309-G309-H309</x:f>
        <x:v>5</x:v>
      </x:c>
      <x:c r="K309" s="37">
        <x:f>J309/C309</x:f>
        <x:v>1</x:v>
      </x:c>
      <x:c r="L309" s="25" t="str">
        <x:f>IF(J309&lt;M309,119,"")</x:f>
        <x:v/>
      </x:c>
      <x:c r="M309" s="34">
        <x:f>SUM(P36:P37)*C309</x:f>
        <x:v>0</x:v>
      </x:c>
      <x:c r="N309" s="35">
        <x:f>J309-M309</x:f>
        <x:v>5</x:v>
      </x:c>
    </x:row>
    <x:row r="310" spans="1:14" customFormat="1" ht="18.75" customHeight="1">
      <x:c r="A310" s="11" t="s">
        <x:v>290</x:v>
      </x:c>
      <x:c r="B310" s="9" t="s">
        <x:v>143</x:v>
      </x:c>
      <x:c r="C310" s="1">
        <x:v>28</x:v>
      </x:c>
      <x:c r="D310" s="14" t="s">
        <x:v>11</x:v>
      </x:c>
      <x:c r="E310" s="1" t="s">
        <x:v>197</x:v>
      </x:c>
      <x:c r="F310" s="38">
        <x:f>'2026.9.11'!J268</x:f>
        <x:v>112</x:v>
      </x:c>
      <x:c r="G310" s="39">
        <x:f>SUM(H38:H39)*C310</x:f>
        <x:v>0</x:v>
      </x:c>
      <x:c r="H310" s="1"/>
      <x:c r="I310" s="1"/>
      <x:c r="J310" s="36">
        <x:f>F310+I310-G310-H310</x:f>
        <x:v>112</x:v>
      </x:c>
      <x:c r="K310" s="37">
        <x:f>J310/C310</x:f>
        <x:v>4</x:v>
      </x:c>
      <x:c r="L310" s="25" t="str">
        <x:f>IF(J310&lt;M310,119,"")</x:f>
        <x:v/>
      </x:c>
      <x:c r="M310" s="34">
        <x:f>SUM(P38:P39)*C310</x:f>
        <x:v>0</x:v>
      </x:c>
      <x:c r="N310" s="35">
        <x:f>J310-M310</x:f>
        <x:v>112</x:v>
      </x:c>
    </x:row>
    <x:row r="311" spans="1:14" ht="18.75" customHeight="1">
      <x:c r="A311" s="11" t="s">
        <x:v>290</x:v>
      </x:c>
      <x:c r="B311" s="9" t="s">
        <x:v>143</x:v>
      </x:c>
      <x:c r="C311" s="1">
        <x:v>12</x:v>
      </x:c>
      <x:c r="D311" s="9" t="s">
        <x:v>275</x:v>
      </x:c>
      <x:c r="E311" s="1" t="s">
        <x:v>187</x:v>
      </x:c>
      <x:c r="F311" s="38">
        <x:f>'2026.9.11'!J269</x:f>
        <x:v>232</x:v>
      </x:c>
      <x:c r="G311" s="39">
        <x:f>SUM(J8:J9)*C311</x:f>
        <x:v>0</x:v>
      </x:c>
      <x:c r="J311" s="36">
        <x:f>F311+I311-G311-H311</x:f>
        <x:v>232</x:v>
      </x:c>
      <x:c r="K311" s="37">
        <x:f>J311/C311</x:f>
        <x:v>19.333333333333332</x:v>
      </x:c>
      <x:c r="L311" s="25">
        <x:f>IF(J311&lt;M311,119,"")</x:f>
        <x:v>119</x:v>
      </x:c>
      <x:c r="M311" s="34">
        <x:f>SUM(R8:R9)*C311</x:f>
        <x:v>240</x:v>
      </x:c>
      <x:c r="N311" s="35">
        <x:f>J311-M311</x:f>
        <x:v>-8</x:v>
      </x:c>
    </x:row>
    <x:row r="312" spans="1:14" ht="18.75" customHeight="1">
      <x:c r="A312" s="11" t="s">
        <x:v>290</x:v>
      </x:c>
      <x:c r="B312" s="9" t="s">
        <x:v>137</x:v>
      </x:c>
      <x:c r="C312" s="1">
        <x:v>12</x:v>
      </x:c>
      <x:c r="D312" s="9" t="s">
        <x:v>83</x:v>
      </x:c>
      <x:c r="E312" s="1" t="s">
        <x:v>169</x:v>
      </x:c>
      <x:c r="F312" s="38">
        <x:f>'2026.9.11'!J270</x:f>
        <x:v>320</x:v>
      </x:c>
      <x:c r="G312" s="39">
        <x:f>J6*C312</x:f>
        <x:v>0</x:v>
      </x:c>
      <x:c r="J312" s="36">
        <x:f>F312+I312-G312-H312</x:f>
        <x:v>320</x:v>
      </x:c>
      <x:c r="K312" s="37">
        <x:f>J312/C312</x:f>
        <x:v>26.666666666666668</x:v>
      </x:c>
      <x:c r="L312" s="25" t="str">
        <x:f>IF(J312&lt;M312,119,"")</x:f>
        <x:v/>
      </x:c>
      <x:c r="M312" s="34">
        <x:f>R6*C312</x:f>
        <x:v>156</x:v>
      </x:c>
      <x:c r="N312" s="35">
        <x:f>J312-M312</x:f>
        <x:v>164</x:v>
      </x:c>
    </x:row>
    <x:row r="313" spans="1:14" ht="18.75" customHeight="1">
      <x:c r="A313" s="11" t="s">
        <x:v>290</x:v>
      </x:c>
      <x:c r="B313" s="9" t="s">
        <x:v>137</x:v>
      </x:c>
      <x:c r="C313" s="1">
        <x:v>12</x:v>
      </x:c>
      <x:c r="D313" s="9" t="s">
        <x:v>41</x:v>
      </x:c>
      <x:c r="E313" s="1" t="s">
        <x:v>187</x:v>
      </x:c>
      <x:c r="F313" s="38">
        <x:f>'2026.9.11'!J271</x:f>
        <x:v>120</x:v>
      </x:c>
      <x:c r="G313" s="39">
        <x:f>J7*C313</x:f>
        <x:v>0</x:v>
      </x:c>
      <x:c r="J313" s="36">
        <x:f>F313+I313-G313-H313</x:f>
        <x:v>120</x:v>
      </x:c>
      <x:c r="K313" s="37">
        <x:f>J313/C313</x:f>
        <x:v>10</x:v>
      </x:c>
      <x:c r="L313" s="25" t="str">
        <x:f>IF(J313&lt;M313,119,"")</x:f>
        <x:v/>
      </x:c>
      <x:c r="M313" s="34">
        <x:f>R7*C313</x:f>
        <x:v>0</x:v>
      </x:c>
      <x:c r="N313" s="35">
        <x:f>J313-M313</x:f>
        <x:v>120</x:v>
      </x:c>
    </x:row>
    <x:row r="314" spans="1:14" ht="18.75" customHeight="1">
      <x:c r="A314" s="11" t="s">
        <x:v>231</x:v>
      </x:c>
      <x:c r="B314" s="9" t="s">
        <x:v>143</x:v>
      </x:c>
      <x:c r="C314" s="1">
        <x:v>8</x:v>
      </x:c>
      <x:c r="D314" s="9" t="s">
        <x:v>262</x:v>
      </x:c>
      <x:c r="E314" s="1" t="s">
        <x:v>134</x:v>
      </x:c>
      <x:c r="F314" s="38">
        <x:f>'2026.9.11'!J272</x:f>
        <x:v>2400</x:v>
      </x:c>
      <x:c r="G314" s="39">
        <x:f>SUM(H4:H18)*C314</x:f>
        <x:v>0</x:v>
      </x:c>
      <x:c r="J314" s="36">
        <x:f>F314+I314-G314-H314</x:f>
        <x:v>2400</x:v>
      </x:c>
      <x:c r="K314" s="37">
        <x:f>J314/C314</x:f>
        <x:v>300</x:v>
      </x:c>
      <x:c r="L314" s="25" t="str">
        <x:f>IF(J314&lt;M314,119,"")</x:f>
        <x:v/>
      </x:c>
      <x:c r="M314" s="34">
        <x:f>SUM(P4:P18)*C314</x:f>
        <x:v>512</x:v>
      </x:c>
      <x:c r="N314" s="35">
        <x:f>J314-M314</x:f>
        <x:v>1888</x:v>
      </x:c>
    </x:row>
    <x:row r="315" spans="1:14" ht="18.75" customHeight="1">
      <x:c r="A315" s="11" t="s">
        <x:v>231</x:v>
      </x:c>
      <x:c r="B315" s="9" t="s">
        <x:v>143</x:v>
      </x:c>
      <x:c r="C315" s="1">
        <x:v>4</x:v>
      </x:c>
      <x:c r="D315" s="9" t="s">
        <x:v>249</x:v>
      </x:c>
      <x:c r="E315" s="1" t="s">
        <x:v>135</x:v>
      </x:c>
      <x:c r="F315" s="38">
        <x:f>'2026.9.11'!J273</x:f>
        <x:v>1000</x:v>
      </x:c>
      <x:c r="G315" s="39">
        <x:f>SUM(H19:H31)*C315</x:f>
        <x:v>0</x:v>
      </x:c>
      <x:c r="J315" s="36">
        <x:f>F315+I315-G315-H315</x:f>
        <x:v>1000</x:v>
      </x:c>
      <x:c r="K315" s="37">
        <x:f>J315/C315</x:f>
        <x:v>250</x:v>
      </x:c>
      <x:c r="L315" s="25" t="str">
        <x:f>IF(J315&lt;M315,119,"")</x:f>
        <x:v/>
      </x:c>
      <x:c r="M315" s="34">
        <x:f>SUM(P19:P31)*C315</x:f>
        <x:v>76</x:v>
      </x:c>
      <x:c r="N315" s="35">
        <x:f>J315-M315</x:f>
        <x:v>924</x:v>
      </x:c>
    </x:row>
    <x:row r="316" spans="1:14" ht="18.75" customHeight="1">
      <x:c r="A316" s="11" t="s">
        <x:v>231</x:v>
      </x:c>
      <x:c r="B316" s="9" t="s">
        <x:v>143</x:v>
      </x:c>
      <x:c r="C316" s="1">
        <x:v>24</x:v>
      </x:c>
      <x:c r="D316" s="9" t="s">
        <x:v>245</x:v>
      </x:c>
      <x:c r="E316" s="1" t="s">
        <x:v>158</x:v>
      </x:c>
      <x:c r="F316" s="38">
        <x:f>'2026.9.11'!J274</x:f>
        <x:v>2200</x:v>
      </x:c>
      <x:c r="G316" s="39">
        <x:f>SUM(H4:H18)*24+SUM(H19:H31)*16+SUM(H32:H35)*4</x:f>
        <x:v>0</x:v>
      </x:c>
      <x:c r="J316" s="36">
        <x:f>F316+I316-G316-H316</x:f>
        <x:v>2200</x:v>
      </x:c>
      <x:c r="K316" s="37">
        <x:f>J316/C316</x:f>
        <x:v>91.666666666666671</x:v>
      </x:c>
      <x:c r="L316" s="25">
        <x:f>IF(J316&lt;M316,119,"")</x:f>
        <x:v>119</x:v>
      </x:c>
      <x:c r="M316" s="34">
        <x:f>SUM(P4:P35)*C316</x:f>
        <x:v>2400</x:v>
      </x:c>
      <x:c r="N316" s="35">
        <x:f>J316-M316</x:f>
        <x:v>-200</x:v>
      </x:c>
    </x:row>
    <x:row r="317" spans="1:14" ht="18.75" customHeight="1">
      <x:c r="A317" s="11" t="s">
        <x:v>231</x:v>
      </x:c>
      <x:c r="B317" s="9" t="s">
        <x:v>143</x:v>
      </x:c>
      <x:c r="C317" s="1">
        <x:v>18</x:v>
      </x:c>
      <x:c r="D317" s="9" t="s">
        <x:v>273</x:v>
      </x:c>
      <x:c r="E317" s="1" t="s">
        <x:v>173</x:v>
      </x:c>
      <x:c r="F317" s="38">
        <x:f>'2026.9.11'!J275</x:f>
        <x:v>1900</x:v>
      </x:c>
      <x:c r="G317" s="39">
        <x:f>SUM(H19:H31)*8+SUM(H32:H35)*16</x:f>
        <x:v>0</x:v>
      </x:c>
      <x:c r="J317" s="36">
        <x:f>F317+I317-G317-H317</x:f>
        <x:v>1900</x:v>
      </x:c>
      <x:c r="K317" s="37">
        <x:f>J317/C317</x:f>
        <x:v>105.55555555555556</x:v>
      </x:c>
      <x:c r="L317" s="25" t="str">
        <x:f>IF(J317&lt;M317,119,"")</x:f>
        <x:v/>
      </x:c>
      <x:c r="M317" s="34">
        <x:f>SUM(P19:P35)*C317</x:f>
        <x:v>648</x:v>
      </x:c>
      <x:c r="N317" s="35">
        <x:f>J317-M317</x:f>
        <x:v>1252</x:v>
      </x:c>
    </x:row>
    <x:row r="318" spans="1:14" customFormat="1" ht="18.75" customHeight="1">
      <x:c r="A318" s="11" t="s">
        <x:v>231</x:v>
      </x:c>
      <x:c r="B318" s="9">
        <x:v>10.9</x:v>
      </x:c>
      <x:c r="C318" s="1">
        <x:v>4</x:v>
      </x:c>
      <x:c r="D318" s="14" t="s">
        <x:v>276</x:v>
      </x:c>
      <x:c r="E318" s="1" t="s">
        <x:v>173</x:v>
      </x:c>
      <x:c r="F318" s="38">
        <x:f>'2026.9.11'!J276</x:f>
        <x:v>2</x:v>
      </x:c>
      <x:c r="G318" s="39">
        <x:f>SUM(H36:H37)*C318</x:f>
        <x:v>0</x:v>
      </x:c>
      <x:c r="H318" s="1"/>
      <x:c r="I318" s="1"/>
      <x:c r="J318" s="36">
        <x:f>F318+I318-G318-H318</x:f>
        <x:v>2</x:v>
      </x:c>
      <x:c r="K318" s="37">
        <x:f>J318/C318</x:f>
        <x:v>0.5</x:v>
      </x:c>
      <x:c r="L318" s="25" t="str">
        <x:f>IF(J318&lt;M318,119,"")</x:f>
        <x:v/>
      </x:c>
      <x:c r="M318" s="34">
        <x:f>SUM(P36:P37)*C318</x:f>
        <x:v>0</x:v>
      </x:c>
      <x:c r="N318" s="35">
        <x:f>J318-M318</x:f>
        <x:v>2</x:v>
      </x:c>
    </x:row>
    <x:row r="319" spans="1:14" customFormat="1" ht="18.75" customHeight="1">
      <x:c r="A319" s="11" t="s">
        <x:v>231</x:v>
      </x:c>
      <x:c r="B319" s="9" t="s">
        <x:v>143</x:v>
      </x:c>
      <x:c r="C319" s="1">
        <x:v>36</x:v>
      </x:c>
      <x:c r="D319" s="14" t="s">
        <x:v>11</x:v>
      </x:c>
      <x:c r="E319" s="1" t="s">
        <x:v>174</x:v>
      </x:c>
      <x:c r="F319" s="38">
        <x:f>'2026.9.11'!J277</x:f>
        <x:v>110</x:v>
      </x:c>
      <x:c r="G319" s="39">
        <x:f>SUM(H38:H39)*C319</x:f>
        <x:v>0</x:v>
      </x:c>
      <x:c r="H319" s="1"/>
      <x:c r="I319" s="1"/>
      <x:c r="J319" s="36">
        <x:f>F319+I319-G319-H319</x:f>
        <x:v>110</x:v>
      </x:c>
      <x:c r="K319" s="37">
        <x:f>J319/C319</x:f>
        <x:v>3.0555555555555554</x:v>
      </x:c>
      <x:c r="L319" s="25" t="str">
        <x:f>IF(J319&lt;M319,119,"")</x:f>
        <x:v/>
      </x:c>
      <x:c r="M319" s="34">
        <x:f>SUM(P38:P39)*C319</x:f>
        <x:v>0</x:v>
      </x:c>
      <x:c r="N319" s="35">
        <x:f>J319-M319</x:f>
        <x:v>110</x:v>
      </x:c>
    </x:row>
    <x:row r="320" spans="1:14" ht="18.75" customHeight="1">
      <x:c r="A320" s="11" t="s">
        <x:v>231</x:v>
      </x:c>
      <x:c r="B320" s="9" t="s">
        <x:v>143</x:v>
      </x:c>
      <x:c r="C320" s="1">
        <x:v>8</x:v>
      </x:c>
      <x:c r="D320" s="9" t="s">
        <x:v>70</x:v>
      </x:c>
      <x:c r="E320" s="1" t="s">
        <x:v>184</x:v>
      </x:c>
      <x:c r="F320" s="38">
        <x:f>'2026.9.11'!J278</x:f>
        <x:v>930</x:v>
      </x:c>
      <x:c r="G320" s="39">
        <x:f>SUM(H32:H35)*C320</x:f>
        <x:v>0</x:v>
      </x:c>
      <x:c r="J320" s="36">
        <x:f>F320+I320-G320-H320</x:f>
        <x:v>930</x:v>
      </x:c>
      <x:c r="K320" s="37">
        <x:f>J320/C320</x:f>
        <x:v>116.25</x:v>
      </x:c>
      <x:c r="L320" s="25" t="str">
        <x:f>IF(J320&lt;M320,119,"")</x:f>
        <x:v/>
      </x:c>
      <x:c r="M320" s="34">
        <x:f>SUM(P32:P35)*C320</x:f>
        <x:v>136</x:v>
      </x:c>
      <x:c r="N320" s="35">
        <x:f>J320-M320</x:f>
        <x:v>794</x:v>
      </x:c>
    </x:row>
    <x:row r="321" spans="1:14" ht="18.75" customHeight="1">
      <x:c r="A321" s="11" t="s">
        <x:v>14</x:v>
      </x:c>
      <x:c r="B321" s="9" t="s">
        <x:v>137</x:v>
      </x:c>
      <x:c r="C321" s="1">
        <x:v>14</x:v>
      </x:c>
      <x:c r="D321" s="9" t="s">
        <x:v>17</x:v>
      </x:c>
      <x:c r="E321" s="1" t="s">
        <x:v>166</x:v>
      </x:c>
      <x:c r="F321" s="38">
        <x:f>'2026.9.11'!J279</x:f>
        <x:v>384</x:v>
      </x:c>
      <x:c r="G321" s="39">
        <x:f>SUM(J6)*12+SUM(J7)*16+SUM(J8)*16+SUM(J9)*8</x:f>
        <x:v>0</x:v>
      </x:c>
      <x:c r="J321" s="36">
        <x:f>F321+I321-G321-H321</x:f>
        <x:v>384</x:v>
      </x:c>
      <x:c r="K321" s="37">
        <x:f>J321/C321</x:f>
        <x:v>27.428571428571427</x:v>
      </x:c>
      <x:c r="L321" s="25">
        <x:f>IF(J321&lt;M321,119,"")</x:f>
        <x:v>119</x:v>
      </x:c>
      <x:c r="M321" s="34">
        <x:f>SUM(R6:R9)*C321</x:f>
        <x:v>462</x:v>
      </x:c>
      <x:c r="N321" s="35">
        <x:f>J321-M321</x:f>
        <x:v>-78</x:v>
      </x:c>
    </x:row>
    <x:row r="322" spans="1:14" ht="18.75" customHeight="1">
      <x:c r="A322" s="11" t="s">
        <x:v>14</x:v>
      </x:c>
      <x:c r="B322" s="9" t="s">
        <x:v>137</x:v>
      </x:c>
      <x:c r="C322" s="1">
        <x:v>4</x:v>
      </x:c>
      <x:c r="D322" s="9" t="s">
        <x:v>83</x:v>
      </x:c>
      <x:c r="E322" s="1" t="s">
        <x:v>170</x:v>
      </x:c>
      <x:c r="F322" s="38">
        <x:f>'2026.9.11'!J280</x:f>
        <x:v>92</x:v>
      </x:c>
      <x:c r="G322" s="39">
        <x:f>J6*C322</x:f>
        <x:v>0</x:v>
      </x:c>
      <x:c r="J322" s="36">
        <x:f>F322+I322-G322-H322</x:f>
        <x:v>92</x:v>
      </x:c>
      <x:c r="K322" s="37">
        <x:f>J322/C322</x:f>
        <x:v>23</x:v>
      </x:c>
      <x:c r="L322" s="25" t="str">
        <x:f>IF(J322&lt;M322,119,"")</x:f>
        <x:v/>
      </x:c>
      <x:c r="M322" s="34">
        <x:f>R6*C322</x:f>
        <x:v>52</x:v>
      </x:c>
      <x:c r="N322" s="35">
        <x:f>J322-M322</x:f>
        <x:v>40</x:v>
      </x:c>
    </x:row>
    <x:row r="323" spans="1:14" ht="18.75" customHeight="1">
      <x:c r="A323" s="11" t="s">
        <x:v>14</x:v>
      </x:c>
      <x:c r="B323" s="9" t="s">
        <x:v>137</x:v>
      </x:c>
      <x:c r="C323" s="1">
        <x:v>8</x:v>
      </x:c>
      <x:c r="D323" s="9" t="s">
        <x:v>73</x:v>
      </x:c>
      <x:c r="E323" s="1" t="s">
        <x:v>153</x:v>
      </x:c>
      <x:c r="F323" s="38">
        <x:f>'2026.9.11'!J281</x:f>
        <x:v>207</x:v>
      </x:c>
      <x:c r="G323" s="39">
        <x:f>J9*C323</x:f>
        <x:v>0</x:v>
      </x:c>
      <x:c r="J323" s="36">
        <x:f>F323+I323-G323-H323</x:f>
        <x:v>207</x:v>
      </x:c>
      <x:c r="K323" s="37">
        <x:f>J323/C323</x:f>
        <x:v>25.875</x:v>
      </x:c>
      <x:c r="L323" s="25" t="str">
        <x:f>IF(J323&lt;M323,119,"")</x:f>
        <x:v/>
      </x:c>
      <x:c r="M323" s="34">
        <x:f>R9*C323</x:f>
        <x:v>80</x:v>
      </x:c>
      <x:c r="N323" s="35">
        <x:f>J323-M323</x:f>
        <x:v>127</x:v>
      </x:c>
    </x:row>
    <x:row r="324" spans="1:14" ht="18.75" customHeight="1">
      <x:c r="A324" s="11" t="s">
        <x:v>14</x:v>
      </x:c>
      <x:c r="B324" s="9" t="s">
        <x:v>181</x:v>
      </x:c>
      <x:c r="C324" s="1">
        <x:v>8</x:v>
      </x:c>
      <x:c r="D324" s="14" t="s">
        <x:v>276</x:v>
      </x:c>
      <x:c r="E324" s="1" t="s">
        <x:v>170</x:v>
      </x:c>
      <x:c r="F324" s="38">
        <x:f>'2026.9.11'!J282</x:f>
        <x:v>4</x:v>
      </x:c>
      <x:c r="G324" s="39">
        <x:f>SUM(H36:H37)*C324</x:f>
        <x:v>0</x:v>
      </x:c>
      <x:c r="J324" s="36">
        <x:f>F324+I324-G324-H324</x:f>
        <x:v>4</x:v>
      </x:c>
      <x:c r="K324" s="37">
        <x:f>J324/C324</x:f>
        <x:v>0.5</x:v>
      </x:c>
      <x:c r="L324" s="25" t="str">
        <x:f>IF(J324&lt;M324,119,"")</x:f>
        <x:v/>
      </x:c>
      <x:c r="M324" s="34">
        <x:f>SUM(P36:P37)*C324</x:f>
        <x:v>0</x:v>
      </x:c>
      <x:c r="N324" s="35">
        <x:f>J324-M324</x:f>
        <x:v>4</x:v>
      </x:c>
    </x:row>
  </x:sheetData>
  <x:autoFilter ref="A42:L296"/>
  <x:mergeCells count="7">
    <x:mergeCell ref="A11:E19"/>
    <x:mergeCell ref="A23:E23"/>
    <x:mergeCell ref="O2:R2"/>
    <x:mergeCell ref="G2:N2"/>
    <x:mergeCell ref="A20:E20"/>
    <x:mergeCell ref="A22:E22"/>
    <x:mergeCell ref="A21:E21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A1"/>
  <x:sheetViews>
    <x:sheetView topLeftCell="A1" zoomScaleNormal="100" workbookViewId="0">
      <x:selection activeCell="A1" activeCellId="0" sqref="A1:A1"/>
    </x:sheetView>
  </x:sheetViews>
  <x:sheetFormatPr defaultColWidth="9.00390625" defaultRowHeight="16.399999999999999"/>
  <x:sheetData/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Hancom Office Hancell 2014</ep:Application>
  <ep:TitlesOfParts>
    <vt:vector size="9" baseType="lpstr">
      <vt:lpstr>2026.9.3</vt:lpstr>
      <vt:lpstr>2026.9.4</vt:lpstr>
      <vt:lpstr>2026.9.7</vt:lpstr>
      <vt:lpstr>2026.9.8</vt:lpstr>
      <vt:lpstr>2026.9.9</vt:lpstr>
      <vt:lpstr>2026.9.10</vt:lpstr>
      <vt:lpstr>2026.9.11</vt:lpstr>
      <vt:lpstr>2026.9.14</vt:lpstr>
      <vt:lpstr>Sheet1</vt:lpstr>
    </vt:vector>
  </ep:TitlesOfParts>
  <ep:AppVersion>0900.0100.01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82102</cp:lastModifiedBy>
  <cp:revision>205</cp:revision>
  <dcterms:created xsi:type="dcterms:W3CDTF">2026-09-02T14:01:05.000</dcterms:created>
  <dcterms:modified xsi:type="dcterms:W3CDTF">2026-09-13T14:52:59.949</dcterms:modified>
</cp:coreProperties>
</file>